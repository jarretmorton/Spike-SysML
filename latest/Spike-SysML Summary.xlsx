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rret\Documents\GitHub\Spike-SysML\development\"/>
    </mc:Choice>
  </mc:AlternateContent>
  <xr:revisionPtr revIDLastSave="0" documentId="13_ncr:1_{7A748B0B-5CB5-4526-B664-10EBFB6427BA}" xr6:coauthVersionLast="47" xr6:coauthVersionMax="47" xr10:uidLastSave="{00000000-0000-0000-0000-000000000000}"/>
  <bookViews>
    <workbookView xWindow="34452" yWindow="-108" windowWidth="20376" windowHeight="12096" xr2:uid="{67E81273-2DCB-4899-8B48-DD4215E033B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4" i="1" l="1"/>
  <c r="L37" i="1"/>
  <c r="L38" i="1"/>
  <c r="L39" i="1"/>
  <c r="L9" i="1"/>
  <c r="L36" i="1"/>
  <c r="K14" i="1"/>
  <c r="K9" i="1"/>
  <c r="K36" i="1" l="1"/>
  <c r="K37" i="1"/>
  <c r="K38" i="1"/>
  <c r="K39" i="1"/>
  <c r="K40" i="1"/>
  <c r="J14" i="1" l="1"/>
  <c r="J9" i="1"/>
  <c r="J38" i="1"/>
  <c r="J39" i="1"/>
  <c r="J40" i="1"/>
  <c r="J36" i="1"/>
  <c r="J37" i="1"/>
  <c r="G36" i="1" l="1"/>
  <c r="E37" i="1"/>
  <c r="F37" i="1"/>
  <c r="G37" i="1"/>
  <c r="H37" i="1"/>
  <c r="I37" i="1"/>
  <c r="E38" i="1"/>
  <c r="F38" i="1"/>
  <c r="G38" i="1"/>
  <c r="H38" i="1"/>
  <c r="I38" i="1"/>
  <c r="D39" i="1"/>
  <c r="E39" i="1"/>
  <c r="F39" i="1"/>
  <c r="G39" i="1"/>
  <c r="H39" i="1"/>
  <c r="I39" i="1"/>
  <c r="D40" i="1"/>
  <c r="E40" i="1"/>
  <c r="F40" i="1"/>
  <c r="G40" i="1"/>
  <c r="H40" i="1"/>
  <c r="I40" i="1"/>
  <c r="D41" i="1"/>
  <c r="E41" i="1"/>
  <c r="F41" i="1"/>
  <c r="H41" i="1"/>
  <c r="I41" i="1"/>
  <c r="D42" i="1"/>
  <c r="D43" i="1"/>
  <c r="C40" i="1"/>
  <c r="C41" i="1"/>
  <c r="C42" i="1"/>
  <c r="C43" i="1"/>
  <c r="C44" i="1"/>
  <c r="E14" i="1" l="1"/>
  <c r="I14" i="1"/>
  <c r="I9" i="1"/>
  <c r="H9" i="1" l="1"/>
  <c r="H13" i="1"/>
  <c r="H14" i="1" s="1"/>
  <c r="C9" i="1" l="1"/>
  <c r="C14" i="1"/>
  <c r="G14" i="1"/>
  <c r="G9" i="1"/>
  <c r="D14" i="1"/>
  <c r="F14" i="1"/>
  <c r="F9" i="1"/>
  <c r="E9" i="1"/>
  <c r="D9" i="1"/>
</calcChain>
</file>

<file path=xl/sharedStrings.xml><?xml version="1.0" encoding="utf-8"?>
<sst xmlns="http://schemas.openxmlformats.org/spreadsheetml/2006/main" count="34" uniqueCount="29">
  <si>
    <t>Cal Runs</t>
  </si>
  <si>
    <t>Verif Runs</t>
  </si>
  <si>
    <t>Op Avg Dist</t>
  </si>
  <si>
    <t>Test</t>
  </si>
  <si>
    <t>5 SE</t>
  </si>
  <si>
    <t>4 SE</t>
  </si>
  <si>
    <t>4 Freestyle</t>
  </si>
  <si>
    <t>5 Freestyle</t>
  </si>
  <si>
    <t>Date</t>
  </si>
  <si>
    <t>Char Runs</t>
  </si>
  <si>
    <t>Predicted</t>
  </si>
  <si>
    <t>6 SE</t>
  </si>
  <si>
    <t>6 Freestyle</t>
  </si>
  <si>
    <t>Diff</t>
  </si>
  <si>
    <t>Same</t>
  </si>
  <si>
    <t>7 SE</t>
  </si>
  <si>
    <t>v1 Char
Method</t>
  </si>
  <si>
    <t>v0</t>
  </si>
  <si>
    <t>v2 Sens
Anomoly</t>
  </si>
  <si>
    <t>Op Max-Min</t>
  </si>
  <si>
    <t>Op Error</t>
  </si>
  <si>
    <t>Op Sdev</t>
  </si>
  <si>
    <t>7 Freestyle</t>
  </si>
  <si>
    <t>Operational Runs</t>
  </si>
  <si>
    <t>All Runs</t>
  </si>
  <si>
    <t>Interventions</t>
  </si>
  <si>
    <t>Impacts</t>
  </si>
  <si>
    <t>8 SE</t>
  </si>
  <si>
    <t>9 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</si>
</sst>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1" fontId="0" fillId="0" borderId="1" xfId="0" applyNumberFormat="1" applyBorder="1" applyAlignment="1">
      <alignment horizontal="center"/>
    </xf>
    <xf numFmtId="14" fontId="0" fillId="0" borderId="0" xfId="0" applyNumberFormat="1"/>
    <xf numFmtId="14" fontId="0" fillId="0" borderId="1" xfId="0" applyNumberFormat="1" applyBorder="1" applyAlignment="1">
      <alignment horizontal="center"/>
    </xf>
    <xf numFmtId="14" fontId="0" fillId="0" borderId="2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 wrapText="1"/>
    </xf>
    <xf numFmtId="1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1" fontId="0" fillId="0" borderId="2" xfId="0" applyNumberFormat="1" applyBorder="1" applyAlignment="1">
      <alignment horizontal="center"/>
    </xf>
    <xf numFmtId="0" fontId="1" fillId="0" borderId="0" xfId="0" applyFont="1" applyAlignment="1">
      <alignment horizontal="center" vertical="center" textRotation="90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2" xfId="0" applyBorder="1"/>
    <xf numFmtId="0" fontId="1" fillId="2" borderId="0" xfId="0" applyFont="1" applyFill="1" applyAlignment="1">
      <alignment horizontal="center" vertical="center" textRotation="90"/>
    </xf>
    <xf numFmtId="14" fontId="0" fillId="0" borderId="0" xfId="0" applyNumberFormat="1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99401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Sheet1!$D$2</c:f>
              <c:strCache>
                <c:ptCount val="1"/>
                <c:pt idx="0">
                  <c:v>4 Freestyle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Sheet1!$B$6:$B$9</c:f>
              <c:strCache>
                <c:ptCount val="4"/>
                <c:pt idx="0">
                  <c:v>Interventions</c:v>
                </c:pt>
                <c:pt idx="1">
                  <c:v>Impacts</c:v>
                </c:pt>
                <c:pt idx="2">
                  <c:v>Verif Runs</c:v>
                </c:pt>
                <c:pt idx="3">
                  <c:v>Char Runs</c:v>
                </c:pt>
              </c:strCache>
            </c:strRef>
          </c:cat>
          <c:val>
            <c:numRef>
              <c:f>Sheet1!$D$6:$D$9</c:f>
              <c:numCache>
                <c:formatCode>General</c:formatCode>
                <c:ptCount val="4"/>
                <c:pt idx="0">
                  <c:v>0</c:v>
                </c:pt>
                <c:pt idx="1">
                  <c:v>4</c:v>
                </c:pt>
                <c:pt idx="2">
                  <c:v>1</c:v>
                </c:pt>
                <c:pt idx="3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1A-4E47-A125-2957C3653DEA}"/>
            </c:ext>
          </c:extLst>
        </c:ser>
        <c:ser>
          <c:idx val="3"/>
          <c:order val="1"/>
          <c:tx>
            <c:strRef>
              <c:f>Sheet1!$F$2</c:f>
              <c:strCache>
                <c:ptCount val="1"/>
                <c:pt idx="0">
                  <c:v>5 Freestyle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Sheet1!$B$6:$B$9</c:f>
              <c:strCache>
                <c:ptCount val="4"/>
                <c:pt idx="0">
                  <c:v>Interventions</c:v>
                </c:pt>
                <c:pt idx="1">
                  <c:v>Impacts</c:v>
                </c:pt>
                <c:pt idx="2">
                  <c:v>Verif Runs</c:v>
                </c:pt>
                <c:pt idx="3">
                  <c:v>Char Runs</c:v>
                </c:pt>
              </c:strCache>
            </c:strRef>
          </c:cat>
          <c:val>
            <c:numRef>
              <c:f>Sheet1!$F$6:$F$9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31A-4E47-A125-2957C3653DEA}"/>
            </c:ext>
          </c:extLst>
        </c:ser>
        <c:ser>
          <c:idx val="5"/>
          <c:order val="2"/>
          <c:tx>
            <c:strRef>
              <c:f>Sheet1!$H$2</c:f>
              <c:strCache>
                <c:ptCount val="1"/>
                <c:pt idx="0">
                  <c:v>6 Freestyle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val>
            <c:numRef>
              <c:f>Sheet1!$H$6:$H$9</c:f>
              <c:numCache>
                <c:formatCode>General</c:formatCode>
                <c:ptCount val="4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6B-4A97-922B-37E9C56CEB5E}"/>
            </c:ext>
          </c:extLst>
        </c:ser>
        <c:ser>
          <c:idx val="7"/>
          <c:order val="3"/>
          <c:tx>
            <c:strRef>
              <c:f>Sheet1!$J$2</c:f>
              <c:strCache>
                <c:ptCount val="1"/>
                <c:pt idx="0">
                  <c:v>7 Freestyle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Sheet1!$J$6:$J$9</c:f>
              <c:numCache>
                <c:formatCode>General</c:formatCode>
                <c:ptCount val="4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C9-49C3-BBBD-FCD6FE7827A1}"/>
            </c:ext>
          </c:extLst>
        </c:ser>
        <c:ser>
          <c:idx val="0"/>
          <c:order val="4"/>
          <c:tx>
            <c:strRef>
              <c:f>Sheet1!$C$2</c:f>
              <c:strCache>
                <c:ptCount val="1"/>
                <c:pt idx="0">
                  <c:v>4 SE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Sheet1!$B$6:$B$9</c:f>
              <c:strCache>
                <c:ptCount val="4"/>
                <c:pt idx="0">
                  <c:v>Interventions</c:v>
                </c:pt>
                <c:pt idx="1">
                  <c:v>Impacts</c:v>
                </c:pt>
                <c:pt idx="2">
                  <c:v>Verif Runs</c:v>
                </c:pt>
                <c:pt idx="3">
                  <c:v>Char Runs</c:v>
                </c:pt>
              </c:strCache>
            </c:strRef>
          </c:cat>
          <c:val>
            <c:numRef>
              <c:f>Sheet1!$C$6:$C$9</c:f>
              <c:numCache>
                <c:formatCode>General</c:formatCode>
                <c:ptCount val="4"/>
                <c:pt idx="0">
                  <c:v>3</c:v>
                </c:pt>
                <c:pt idx="1">
                  <c:v>1</c:v>
                </c:pt>
                <c:pt idx="2">
                  <c:v>1</c:v>
                </c:pt>
                <c:pt idx="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1A-4E47-A125-2957C3653DEA}"/>
            </c:ext>
          </c:extLst>
        </c:ser>
        <c:ser>
          <c:idx val="2"/>
          <c:order val="5"/>
          <c:tx>
            <c:strRef>
              <c:f>Sheet1!$E$2</c:f>
              <c:strCache>
                <c:ptCount val="1"/>
                <c:pt idx="0">
                  <c:v>5 SE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strRef>
              <c:f>Sheet1!$B$6:$B$9</c:f>
              <c:strCache>
                <c:ptCount val="4"/>
                <c:pt idx="0">
                  <c:v>Interventions</c:v>
                </c:pt>
                <c:pt idx="1">
                  <c:v>Impacts</c:v>
                </c:pt>
                <c:pt idx="2">
                  <c:v>Verif Runs</c:v>
                </c:pt>
                <c:pt idx="3">
                  <c:v>Char Runs</c:v>
                </c:pt>
              </c:strCache>
            </c:strRef>
          </c:cat>
          <c:val>
            <c:numRef>
              <c:f>Sheet1!$E$6:$E$9</c:f>
              <c:numCache>
                <c:formatCode>General</c:formatCode>
                <c:ptCount val="4"/>
                <c:pt idx="0">
                  <c:v>1</c:v>
                </c:pt>
                <c:pt idx="1">
                  <c:v>0</c:v>
                </c:pt>
                <c:pt idx="2">
                  <c:v>2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31A-4E47-A125-2957C3653DEA}"/>
            </c:ext>
          </c:extLst>
        </c:ser>
        <c:ser>
          <c:idx val="4"/>
          <c:order val="6"/>
          <c:tx>
            <c:strRef>
              <c:f>Sheet1!$G$2</c:f>
              <c:strCache>
                <c:ptCount val="1"/>
                <c:pt idx="0">
                  <c:v>6 SE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Sheet1!$G$6:$G$9</c:f>
              <c:numCache>
                <c:formatCode>General</c:formatCode>
                <c:ptCount val="4"/>
                <c:pt idx="0">
                  <c:v>3</c:v>
                </c:pt>
                <c:pt idx="1">
                  <c:v>0</c:v>
                </c:pt>
                <c:pt idx="2">
                  <c:v>2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6B-4A7D-8E9A-CBC3F1217CFE}"/>
            </c:ext>
          </c:extLst>
        </c:ser>
        <c:ser>
          <c:idx val="6"/>
          <c:order val="7"/>
          <c:tx>
            <c:strRef>
              <c:f>Sheet1!$I$2</c:f>
              <c:strCache>
                <c:ptCount val="1"/>
                <c:pt idx="0">
                  <c:v>7 SE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Sheet1!$I$6:$I$9</c:f>
              <c:numCache>
                <c:formatCode>General</c:formatCode>
                <c:ptCount val="4"/>
                <c:pt idx="0">
                  <c:v>4</c:v>
                </c:pt>
                <c:pt idx="1">
                  <c:v>1</c:v>
                </c:pt>
                <c:pt idx="2">
                  <c:v>2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E2-49A7-8D50-2EEB127B1C03}"/>
            </c:ext>
          </c:extLst>
        </c:ser>
        <c:ser>
          <c:idx val="8"/>
          <c:order val="8"/>
          <c:tx>
            <c:strRef>
              <c:f>Sheet1!$K$2</c:f>
              <c:strCache>
                <c:ptCount val="1"/>
                <c:pt idx="0">
                  <c:v>8 SE</c:v>
                </c:pt>
              </c:strCache>
            </c:strRef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val>
            <c:numRef>
              <c:f>Sheet1!$K$6:$K$9</c:f>
              <c:numCache>
                <c:formatCode>General</c:formatCode>
                <c:ptCount val="4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23-4BCE-B4AA-96F5375311F8}"/>
            </c:ext>
          </c:extLst>
        </c:ser>
        <c:ser>
          <c:idx val="9"/>
          <c:order val="9"/>
          <c:tx>
            <c:strRef>
              <c:f>Sheet1!$L$2</c:f>
              <c:strCache>
                <c:ptCount val="1"/>
                <c:pt idx="0">
                  <c:v>9 SE</c:v>
                </c:pt>
              </c:strCache>
            </c:strRef>
          </c:tx>
          <c:spPr>
            <a:solidFill>
              <a:schemeClr val="bg2">
                <a:lumMod val="25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Sheet1!$L$6:$L$9</c:f>
              <c:numCache>
                <c:formatCode>General</c:formatCode>
                <c:ptCount val="4"/>
                <c:pt idx="0">
                  <c:v>2</c:v>
                </c:pt>
                <c:pt idx="1">
                  <c:v>0</c:v>
                </c:pt>
                <c:pt idx="2">
                  <c:v>2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D2-47F4-B5E2-A5D05CF09B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3320239"/>
        <c:axId val="83323119"/>
      </c:barChart>
      <c:catAx>
        <c:axId val="83320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323119"/>
        <c:crosses val="autoZero"/>
        <c:auto val="1"/>
        <c:lblAlgn val="ctr"/>
        <c:lblOffset val="100"/>
        <c:noMultiLvlLbl val="0"/>
      </c:catAx>
      <c:valAx>
        <c:axId val="83323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320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Sheet1!$D$2</c:f>
              <c:strCache>
                <c:ptCount val="1"/>
                <c:pt idx="0">
                  <c:v>4 Freestyle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Sheet1!$B$10:$B$14</c15:sqref>
                  </c15:fullRef>
                </c:ext>
              </c:extLst>
              <c:f>(Sheet1!$B$10,Sheet1!$B$12,Sheet1!$B$14)</c:f>
              <c:strCache>
                <c:ptCount val="3"/>
                <c:pt idx="0">
                  <c:v>Op Avg Dist</c:v>
                </c:pt>
                <c:pt idx="1">
                  <c:v>Op Sdev</c:v>
                </c:pt>
                <c:pt idx="2">
                  <c:v>Op Error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Sheet1!$D$10:$D$14</c15:sqref>
                  </c15:fullRef>
                </c:ext>
              </c:extLst>
              <c:f>(Sheet1!$D$10,Sheet1!$D$12,Sheet1!$D$14)</c:f>
              <c:numCache>
                <c:formatCode>0</c:formatCode>
                <c:ptCount val="3"/>
                <c:pt idx="0">
                  <c:v>91.8</c:v>
                </c:pt>
                <c:pt idx="1">
                  <c:v>7.5630681604756154</c:v>
                </c:pt>
                <c:pt idx="2">
                  <c:v>26.399999999999991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83-4C49-A73A-06B1D29DCB9D}"/>
            </c:ext>
          </c:extLst>
        </c:ser>
        <c:ser>
          <c:idx val="3"/>
          <c:order val="1"/>
          <c:tx>
            <c:strRef>
              <c:f>Sheet1!$F$2</c:f>
              <c:strCache>
                <c:ptCount val="1"/>
                <c:pt idx="0">
                  <c:v>5 Freestyle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Sheet1!$B$10:$B$14</c15:sqref>
                  </c15:fullRef>
                </c:ext>
              </c:extLst>
              <c:f>(Sheet1!$B$10,Sheet1!$B$12,Sheet1!$B$14)</c:f>
              <c:strCache>
                <c:ptCount val="3"/>
                <c:pt idx="0">
                  <c:v>Op Avg Dist</c:v>
                </c:pt>
                <c:pt idx="1">
                  <c:v>Op Sdev</c:v>
                </c:pt>
                <c:pt idx="2">
                  <c:v>Op Error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Sheet1!$F$10:$F$14</c15:sqref>
                  </c15:fullRef>
                </c:ext>
              </c:extLst>
              <c:f>(Sheet1!$F$10,Sheet1!$F$12,Sheet1!$F$14)</c:f>
              <c:numCache>
                <c:formatCode>0</c:formatCode>
                <c:ptCount val="3"/>
                <c:pt idx="0">
                  <c:v>213.8</c:v>
                </c:pt>
                <c:pt idx="1">
                  <c:v>39.277219860881154</c:v>
                </c:pt>
                <c:pt idx="2">
                  <c:v>154.80000000000001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83-4C49-A73A-06B1D29DCB9D}"/>
            </c:ext>
          </c:extLst>
        </c:ser>
        <c:ser>
          <c:idx val="5"/>
          <c:order val="2"/>
          <c:tx>
            <c:strRef>
              <c:f>Sheet1!$H$2</c:f>
              <c:strCache>
                <c:ptCount val="1"/>
                <c:pt idx="0">
                  <c:v>6 Freestyle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Op Avg Dist</c:v>
              </c:pt>
              <c:pt idx="1">
                <c:v>Op Sdev</c:v>
              </c:pt>
              <c:pt idx="2">
                <c:v>Op Error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Sheet1!$H$10:$H$14</c15:sqref>
                  </c15:fullRef>
                </c:ext>
              </c:extLst>
              <c:f>(Sheet1!$H$10,Sheet1!$H$12,Sheet1!$H$14)</c:f>
              <c:numCache>
                <c:formatCode>0</c:formatCode>
                <c:ptCount val="3"/>
                <c:pt idx="0">
                  <c:v>167.4</c:v>
                </c:pt>
                <c:pt idx="1">
                  <c:v>113.0013274258316</c:v>
                </c:pt>
                <c:pt idx="2">
                  <c:v>123.4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30-4449-AD10-4F9F617C74C0}"/>
            </c:ext>
          </c:extLst>
        </c:ser>
        <c:ser>
          <c:idx val="7"/>
          <c:order val="3"/>
          <c:tx>
            <c:strRef>
              <c:f>Sheet1!$J$2</c:f>
              <c:strCache>
                <c:ptCount val="1"/>
                <c:pt idx="0">
                  <c:v>7 Freestyle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Op Avg Dist</c:v>
              </c:pt>
              <c:pt idx="1">
                <c:v>Op Sdev</c:v>
              </c:pt>
              <c:pt idx="2">
                <c:v>Op Error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Sheet1!$J$10:$J$14</c15:sqref>
                  </c15:fullRef>
                </c:ext>
              </c:extLst>
              <c:f>(Sheet1!$J$10,Sheet1!$J$12,Sheet1!$J$14)</c:f>
              <c:numCache>
                <c:formatCode>0</c:formatCode>
                <c:ptCount val="3"/>
                <c:pt idx="0">
                  <c:v>175.4</c:v>
                </c:pt>
                <c:pt idx="1">
                  <c:v>13.049904214207857</c:v>
                </c:pt>
                <c:pt idx="2">
                  <c:v>130.4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8A-479E-9E9F-334EE0774686}"/>
            </c:ext>
          </c:extLst>
        </c:ser>
        <c:ser>
          <c:idx val="0"/>
          <c:order val="4"/>
          <c:tx>
            <c:strRef>
              <c:f>Sheet1!$C$2</c:f>
              <c:strCache>
                <c:ptCount val="1"/>
                <c:pt idx="0">
                  <c:v>4 SE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Sheet1!$B$10:$B$14</c15:sqref>
                  </c15:fullRef>
                </c:ext>
              </c:extLst>
              <c:f>(Sheet1!$B$10,Sheet1!$B$12,Sheet1!$B$14)</c:f>
              <c:strCache>
                <c:ptCount val="3"/>
                <c:pt idx="0">
                  <c:v>Op Avg Dist</c:v>
                </c:pt>
                <c:pt idx="1">
                  <c:v>Op Sdev</c:v>
                </c:pt>
                <c:pt idx="2">
                  <c:v>Op Error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Sheet1!$C$10:$C$14</c15:sqref>
                  </c15:fullRef>
                </c:ext>
              </c:extLst>
              <c:f>(Sheet1!$C$10,Sheet1!$C$12,Sheet1!$C$14)</c:f>
              <c:numCache>
                <c:formatCode>0</c:formatCode>
                <c:ptCount val="3"/>
                <c:pt idx="0">
                  <c:v>192.4</c:v>
                </c:pt>
                <c:pt idx="1">
                  <c:v>12.054044964243332</c:v>
                </c:pt>
                <c:pt idx="2">
                  <c:v>3.4000000000000057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83-4C49-A73A-06B1D29DCB9D}"/>
            </c:ext>
          </c:extLst>
        </c:ser>
        <c:ser>
          <c:idx val="2"/>
          <c:order val="5"/>
          <c:tx>
            <c:strRef>
              <c:f>Sheet1!$E$2</c:f>
              <c:strCache>
                <c:ptCount val="1"/>
                <c:pt idx="0">
                  <c:v>5 SE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Sheet1!$B$10:$B$14</c15:sqref>
                  </c15:fullRef>
                </c:ext>
              </c:extLst>
              <c:f>(Sheet1!$B$10,Sheet1!$B$12,Sheet1!$B$14)</c:f>
              <c:strCache>
                <c:ptCount val="3"/>
                <c:pt idx="0">
                  <c:v>Op Avg Dist</c:v>
                </c:pt>
                <c:pt idx="1">
                  <c:v>Op Sdev</c:v>
                </c:pt>
                <c:pt idx="2">
                  <c:v>Op Error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Sheet1!$E$10:$E$14</c15:sqref>
                  </c15:fullRef>
                </c:ext>
              </c:extLst>
              <c:f>(Sheet1!$E$10,Sheet1!$E$12,Sheet1!$E$14)</c:f>
              <c:numCache>
                <c:formatCode>0</c:formatCode>
                <c:ptCount val="3"/>
                <c:pt idx="0">
                  <c:v>70.8</c:v>
                </c:pt>
                <c:pt idx="1">
                  <c:v>5.4497706373754848</c:v>
                </c:pt>
                <c:pt idx="2">
                  <c:v>-7.2000000000000028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83-4C49-A73A-06B1D29DCB9D}"/>
            </c:ext>
          </c:extLst>
        </c:ser>
        <c:ser>
          <c:idx val="4"/>
          <c:order val="6"/>
          <c:tx>
            <c:strRef>
              <c:f>Sheet1!$G$2</c:f>
              <c:strCache>
                <c:ptCount val="1"/>
                <c:pt idx="0">
                  <c:v>6 SE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Op Avg Dist</c:v>
              </c:pt>
              <c:pt idx="1">
                <c:v>Op Sdev</c:v>
              </c:pt>
              <c:pt idx="2">
                <c:v>Op Error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Sheet1!$G$10:$G$14</c15:sqref>
                  </c15:fullRef>
                </c:ext>
              </c:extLst>
              <c:f>(Sheet1!$G$10,Sheet1!$G$12,Sheet1!$G$14)</c:f>
              <c:numCache>
                <c:formatCode>0</c:formatCode>
                <c:ptCount val="3"/>
                <c:pt idx="0">
                  <c:v>148</c:v>
                </c:pt>
                <c:pt idx="1">
                  <c:v>9</c:v>
                </c:pt>
                <c:pt idx="2">
                  <c:v>104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E6-4A6C-8AC9-E6D23C79F65F}"/>
            </c:ext>
          </c:extLst>
        </c:ser>
        <c:ser>
          <c:idx val="6"/>
          <c:order val="7"/>
          <c:tx>
            <c:strRef>
              <c:f>Sheet1!$I$2</c:f>
              <c:strCache>
                <c:ptCount val="1"/>
                <c:pt idx="0">
                  <c:v>7 SE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Op Avg Dist</c:v>
              </c:pt>
              <c:pt idx="1">
                <c:v>Op Sdev</c:v>
              </c:pt>
              <c:pt idx="2">
                <c:v>Op Error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Sheet1!$I$10:$I$14</c15:sqref>
                  </c15:fullRef>
                </c:ext>
              </c:extLst>
              <c:f>(Sheet1!$I$10,Sheet1!$I$12,Sheet1!$I$14)</c:f>
              <c:numCache>
                <c:formatCode>0</c:formatCode>
                <c:ptCount val="3"/>
                <c:pt idx="0">
                  <c:v>44</c:v>
                </c:pt>
                <c:pt idx="1">
                  <c:v>7.1063352017759476</c:v>
                </c:pt>
                <c:pt idx="2">
                  <c:v>-11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FF-4E63-AAD3-740ADE87300B}"/>
            </c:ext>
          </c:extLst>
        </c:ser>
        <c:ser>
          <c:idx val="8"/>
          <c:order val="8"/>
          <c:tx>
            <c:strRef>
              <c:f>Sheet1!$K$2</c:f>
              <c:strCache>
                <c:ptCount val="1"/>
                <c:pt idx="0">
                  <c:v>8 SE</c:v>
                </c:pt>
              </c:strCache>
            </c:strRef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Op Avg Dist</c:v>
              </c:pt>
              <c:pt idx="1">
                <c:v>Op Sdev</c:v>
              </c:pt>
              <c:pt idx="2">
                <c:v>Op Error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Sheet1!$K$10:$K$14</c15:sqref>
                  </c15:fullRef>
                </c:ext>
              </c:extLst>
              <c:f>(Sheet1!$K$10,Sheet1!$K$12,Sheet1!$K$14)</c:f>
              <c:numCache>
                <c:formatCode>0</c:formatCode>
                <c:ptCount val="3"/>
                <c:pt idx="0">
                  <c:v>43.4</c:v>
                </c:pt>
                <c:pt idx="1">
                  <c:v>7.700649323271394</c:v>
                </c:pt>
                <c:pt idx="2">
                  <c:v>-1.6000000000000014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8A-4008-B98F-40A74B0C5393}"/>
            </c:ext>
          </c:extLst>
        </c:ser>
        <c:ser>
          <c:idx val="9"/>
          <c:order val="9"/>
          <c:tx>
            <c:strRef>
              <c:f>Sheet1!$L$2</c:f>
              <c:strCache>
                <c:ptCount val="1"/>
                <c:pt idx="0">
                  <c:v>9 SE</c:v>
                </c:pt>
              </c:strCache>
            </c:strRef>
          </c:tx>
          <c:spPr>
            <a:solidFill>
              <a:schemeClr val="bg2">
                <a:lumMod val="25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Op Avg Dist</c:v>
              </c:pt>
              <c:pt idx="1">
                <c:v>Op Sdev</c:v>
              </c:pt>
              <c:pt idx="2">
                <c:v>Op Error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Sheet1!$L$10:$L$14</c15:sqref>
                  </c15:fullRef>
                </c:ext>
              </c:extLst>
              <c:f>(Sheet1!$L$10,Sheet1!$L$12,Sheet1!$L$14)</c:f>
              <c:numCache>
                <c:formatCode>0</c:formatCode>
                <c:ptCount val="3"/>
                <c:pt idx="0">
                  <c:v>20</c:v>
                </c:pt>
                <c:pt idx="1">
                  <c:v>6.4420493633625631</c:v>
                </c:pt>
                <c:pt idx="2">
                  <c:v>-10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74-4A69-A463-6BB8512289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3320239"/>
        <c:axId val="83323119"/>
      </c:barChart>
      <c:catAx>
        <c:axId val="83320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323119"/>
        <c:crosses val="autoZero"/>
        <c:auto val="1"/>
        <c:lblAlgn val="ctr"/>
        <c:lblOffset val="100"/>
        <c:noMultiLvlLbl val="0"/>
      </c:catAx>
      <c:valAx>
        <c:axId val="83323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320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Sheet1!$C$2</c:f>
              <c:strCache>
                <c:ptCount val="1"/>
                <c:pt idx="0">
                  <c:v>4 SE</c:v>
                </c:pt>
              </c:strCache>
            </c:strRef>
          </c:tx>
          <c:spPr>
            <a:ln w="19050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Sheet1!$B$16:$B$29</c:f>
              <c:strCache>
                <c:ptCount val="1"/>
                <c:pt idx="0">
                  <c:v>All Runs</c:v>
                </c:pt>
              </c:strCache>
            </c:strRef>
          </c:cat>
          <c:val>
            <c:numRef>
              <c:f>Sheet1!$C$16:$C$29</c:f>
              <c:numCache>
                <c:formatCode>General</c:formatCode>
                <c:ptCount val="14"/>
                <c:pt idx="2">
                  <c:v>314</c:v>
                </c:pt>
                <c:pt idx="3">
                  <c:v>359</c:v>
                </c:pt>
                <c:pt idx="4">
                  <c:v>641</c:v>
                </c:pt>
                <c:pt idx="5">
                  <c:v>409</c:v>
                </c:pt>
                <c:pt idx="6">
                  <c:v>366</c:v>
                </c:pt>
                <c:pt idx="7">
                  <c:v>469</c:v>
                </c:pt>
                <c:pt idx="8">
                  <c:v>173</c:v>
                </c:pt>
                <c:pt idx="9">
                  <c:v>197</c:v>
                </c:pt>
                <c:pt idx="10">
                  <c:v>171</c:v>
                </c:pt>
                <c:pt idx="11">
                  <c:v>198</c:v>
                </c:pt>
                <c:pt idx="12">
                  <c:v>196</c:v>
                </c:pt>
                <c:pt idx="13">
                  <c:v>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D7E-4F84-BBD3-152429E7606B}"/>
            </c:ext>
          </c:extLst>
        </c:ser>
        <c:ser>
          <c:idx val="2"/>
          <c:order val="1"/>
          <c:tx>
            <c:strRef>
              <c:f>Sheet1!$E$2</c:f>
              <c:strCache>
                <c:ptCount val="1"/>
                <c:pt idx="0">
                  <c:v>5 SE</c:v>
                </c:pt>
              </c:strCache>
            </c:strRef>
          </c:tx>
          <c:spPr>
            <a:ln w="19050">
              <a:solidFill>
                <a:schemeClr val="accent1">
                  <a:lumMod val="60000"/>
                  <a:lumOff val="40000"/>
                </a:schemeClr>
              </a:solidFill>
            </a:ln>
          </c:spPr>
          <c:marker>
            <c:symbol val="none"/>
          </c:marker>
          <c:cat>
            <c:strRef>
              <c:f>Sheet1!$B$16:$B$29</c:f>
              <c:strCache>
                <c:ptCount val="1"/>
                <c:pt idx="0">
                  <c:v>All Runs</c:v>
                </c:pt>
              </c:strCache>
            </c:strRef>
          </c:cat>
          <c:val>
            <c:numRef>
              <c:f>Sheet1!$E$16:$E$29</c:f>
              <c:numCache>
                <c:formatCode>General</c:formatCode>
                <c:ptCount val="14"/>
                <c:pt idx="1">
                  <c:v>442</c:v>
                </c:pt>
                <c:pt idx="2">
                  <c:v>689</c:v>
                </c:pt>
                <c:pt idx="3">
                  <c:v>479</c:v>
                </c:pt>
                <c:pt idx="4">
                  <c:v>264</c:v>
                </c:pt>
                <c:pt idx="5">
                  <c:v>74</c:v>
                </c:pt>
                <c:pt idx="6">
                  <c:v>72</c:v>
                </c:pt>
                <c:pt idx="7">
                  <c:v>71</c:v>
                </c:pt>
                <c:pt idx="8">
                  <c:v>62</c:v>
                </c:pt>
                <c:pt idx="9">
                  <c:v>72</c:v>
                </c:pt>
                <c:pt idx="10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D7E-4F84-BBD3-152429E7606B}"/>
            </c:ext>
          </c:extLst>
        </c:ser>
        <c:ser>
          <c:idx val="4"/>
          <c:order val="2"/>
          <c:tx>
            <c:strRef>
              <c:f>Sheet1!$G$2</c:f>
              <c:strCache>
                <c:ptCount val="1"/>
                <c:pt idx="0">
                  <c:v>6 SE</c:v>
                </c:pt>
              </c:strCache>
            </c:strRef>
          </c:tx>
          <c:spPr>
            <a:ln w="19050">
              <a:solidFill>
                <a:schemeClr val="accent4">
                  <a:lumMod val="75000"/>
                </a:schemeClr>
              </a:solidFill>
            </a:ln>
          </c:spPr>
          <c:marker>
            <c:symbol val="none"/>
          </c:marker>
          <c:cat>
            <c:strRef>
              <c:f>Sheet1!$B$16:$B$29</c:f>
              <c:strCache>
                <c:ptCount val="1"/>
                <c:pt idx="0">
                  <c:v>All Runs</c:v>
                </c:pt>
              </c:strCache>
            </c:strRef>
          </c:cat>
          <c:val>
            <c:numRef>
              <c:f>Sheet1!$G$16:$G$29</c:f>
              <c:numCache>
                <c:formatCode>General</c:formatCode>
                <c:ptCount val="14"/>
                <c:pt idx="0">
                  <c:v>533</c:v>
                </c:pt>
                <c:pt idx="1">
                  <c:v>498</c:v>
                </c:pt>
                <c:pt idx="2">
                  <c:v>530</c:v>
                </c:pt>
                <c:pt idx="3">
                  <c:v>138</c:v>
                </c:pt>
                <c:pt idx="4">
                  <c:v>148</c:v>
                </c:pt>
                <c:pt idx="5">
                  <c:v>157</c:v>
                </c:pt>
                <c:pt idx="6">
                  <c:v>135</c:v>
                </c:pt>
                <c:pt idx="7">
                  <c:v>145</c:v>
                </c:pt>
                <c:pt idx="8">
                  <c:v>147</c:v>
                </c:pt>
                <c:pt idx="9">
                  <c:v>156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D7E-4F84-BBD3-152429E7606B}"/>
            </c:ext>
          </c:extLst>
        </c:ser>
        <c:ser>
          <c:idx val="1"/>
          <c:order val="3"/>
          <c:tx>
            <c:strRef>
              <c:f>Sheet1!$I$2</c:f>
              <c:strCache>
                <c:ptCount val="1"/>
                <c:pt idx="0">
                  <c:v>7 SE</c:v>
                </c:pt>
              </c:strCache>
            </c:strRef>
          </c:tx>
          <c:spPr>
            <a:ln w="19050">
              <a:solidFill>
                <a:schemeClr val="accent5">
                  <a:lumMod val="75000"/>
                </a:schemeClr>
              </a:solidFill>
            </a:ln>
          </c:spPr>
          <c:marker>
            <c:symbol val="none"/>
          </c:marker>
          <c:val>
            <c:numRef>
              <c:f>Sheet1!$I$16:$I$29</c:f>
              <c:numCache>
                <c:formatCode>General</c:formatCode>
                <c:ptCount val="14"/>
                <c:pt idx="1">
                  <c:v>196</c:v>
                </c:pt>
                <c:pt idx="2">
                  <c:v>113</c:v>
                </c:pt>
                <c:pt idx="3">
                  <c:v>138</c:v>
                </c:pt>
                <c:pt idx="4">
                  <c:v>28</c:v>
                </c:pt>
                <c:pt idx="5">
                  <c:v>46</c:v>
                </c:pt>
                <c:pt idx="6">
                  <c:v>46</c:v>
                </c:pt>
                <c:pt idx="7">
                  <c:v>45</c:v>
                </c:pt>
                <c:pt idx="8">
                  <c:v>32</c:v>
                </c:pt>
                <c:pt idx="9">
                  <c:v>51</c:v>
                </c:pt>
                <c:pt idx="10">
                  <c:v>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96-4787-83E0-51DC73D3E7C2}"/>
            </c:ext>
          </c:extLst>
        </c:ser>
        <c:ser>
          <c:idx val="3"/>
          <c:order val="4"/>
          <c:tx>
            <c:strRef>
              <c:f>Sheet1!$K$2</c:f>
              <c:strCache>
                <c:ptCount val="1"/>
                <c:pt idx="0">
                  <c:v>8 SE</c:v>
                </c:pt>
              </c:strCache>
            </c:strRef>
          </c:tx>
          <c:spPr>
            <a:ln w="19050">
              <a:solidFill>
                <a:schemeClr val="tx2"/>
              </a:solidFill>
            </a:ln>
          </c:spPr>
          <c:marker>
            <c:symbol val="none"/>
          </c:marker>
          <c:val>
            <c:numRef>
              <c:f>Sheet1!$K$16:$K$29</c:f>
              <c:numCache>
                <c:formatCode>General</c:formatCode>
                <c:ptCount val="14"/>
                <c:pt idx="0">
                  <c:v>515</c:v>
                </c:pt>
                <c:pt idx="1">
                  <c:v>522</c:v>
                </c:pt>
                <c:pt idx="2">
                  <c:v>513</c:v>
                </c:pt>
                <c:pt idx="3">
                  <c:v>542</c:v>
                </c:pt>
                <c:pt idx="4">
                  <c:v>33</c:v>
                </c:pt>
                <c:pt idx="5">
                  <c:v>31</c:v>
                </c:pt>
                <c:pt idx="6">
                  <c:v>47</c:v>
                </c:pt>
                <c:pt idx="7">
                  <c:v>50</c:v>
                </c:pt>
                <c:pt idx="8">
                  <c:v>41</c:v>
                </c:pt>
                <c:pt idx="9">
                  <c:v>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A0-4E10-8A4A-E849A2DB9629}"/>
            </c:ext>
          </c:extLst>
        </c:ser>
        <c:ser>
          <c:idx val="5"/>
          <c:order val="5"/>
          <c:tx>
            <c:strRef>
              <c:f>Sheet1!$L$2</c:f>
              <c:strCache>
                <c:ptCount val="1"/>
                <c:pt idx="0">
                  <c:v>9 SE</c:v>
                </c:pt>
              </c:strCache>
            </c:strRef>
          </c:tx>
          <c:spPr>
            <a:ln w="19050">
              <a:solidFill>
                <a:schemeClr val="bg2">
                  <a:lumMod val="25000"/>
                </a:schemeClr>
              </a:solidFill>
            </a:ln>
          </c:spPr>
          <c:marker>
            <c:symbol val="none"/>
          </c:marker>
          <c:val>
            <c:numRef>
              <c:f>Sheet1!$L$16:$L$29</c:f>
              <c:numCache>
                <c:formatCode>General</c:formatCode>
                <c:ptCount val="14"/>
                <c:pt idx="1">
                  <c:v>321</c:v>
                </c:pt>
                <c:pt idx="2">
                  <c:v>232</c:v>
                </c:pt>
                <c:pt idx="3">
                  <c:v>122</c:v>
                </c:pt>
                <c:pt idx="4">
                  <c:v>43</c:v>
                </c:pt>
                <c:pt idx="5">
                  <c:v>19</c:v>
                </c:pt>
                <c:pt idx="6">
                  <c:v>22</c:v>
                </c:pt>
                <c:pt idx="7">
                  <c:v>14</c:v>
                </c:pt>
                <c:pt idx="8">
                  <c:v>30</c:v>
                </c:pt>
                <c:pt idx="9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12E-4E1F-A93F-6DD257501A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0609439"/>
        <c:axId val="1430609919"/>
      </c:lineChart>
      <c:catAx>
        <c:axId val="143060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919"/>
        <c:crosses val="autoZero"/>
        <c:auto val="1"/>
        <c:lblAlgn val="ctr"/>
        <c:lblOffset val="100"/>
        <c:tickMarkSkip val="1"/>
        <c:noMultiLvlLbl val="0"/>
      </c:catAx>
      <c:valAx>
        <c:axId val="1430609919"/>
        <c:scaling>
          <c:orientation val="minMax"/>
          <c:max val="9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</a:t>
                </a:r>
                <a:r>
                  <a:rPr lang="en-US" baseline="0"/>
                  <a:t> to wall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439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3"/>
          <c:order val="0"/>
          <c:tx>
            <c:strRef>
              <c:f>Sheet1!$D$2</c:f>
              <c:strCache>
                <c:ptCount val="1"/>
                <c:pt idx="0">
                  <c:v>4 Freestyle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Sheet1!$B$16:$B$29</c:f>
              <c:strCache>
                <c:ptCount val="1"/>
                <c:pt idx="0">
                  <c:v>All Runs</c:v>
                </c:pt>
              </c:strCache>
            </c:strRef>
          </c:cat>
          <c:val>
            <c:numRef>
              <c:f>Sheet1!$D$16:$D$29</c:f>
              <c:numCache>
                <c:formatCode>General</c:formatCode>
                <c:ptCount val="14"/>
                <c:pt idx="5">
                  <c:v>395</c:v>
                </c:pt>
                <c:pt idx="6">
                  <c:v>33</c:v>
                </c:pt>
                <c:pt idx="7">
                  <c:v>38</c:v>
                </c:pt>
                <c:pt idx="8">
                  <c:v>99</c:v>
                </c:pt>
                <c:pt idx="9">
                  <c:v>87</c:v>
                </c:pt>
                <c:pt idx="10">
                  <c:v>95</c:v>
                </c:pt>
                <c:pt idx="11">
                  <c:v>81</c:v>
                </c:pt>
                <c:pt idx="12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F1F-4544-A3B9-23B6184D29A5}"/>
            </c:ext>
          </c:extLst>
        </c:ser>
        <c:ser>
          <c:idx val="5"/>
          <c:order val="1"/>
          <c:tx>
            <c:strRef>
              <c:f>Sheet1!$F$2</c:f>
              <c:strCache>
                <c:ptCount val="1"/>
                <c:pt idx="0">
                  <c:v>5 Freestyle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Sheet1!$B$16:$B$29</c:f>
              <c:strCache>
                <c:ptCount val="1"/>
                <c:pt idx="0">
                  <c:v>All Runs</c:v>
                </c:pt>
              </c:strCache>
            </c:strRef>
          </c:cat>
          <c:val>
            <c:numRef>
              <c:f>Sheet1!$F$16:$F$29</c:f>
              <c:numCache>
                <c:formatCode>General</c:formatCode>
                <c:ptCount val="14"/>
                <c:pt idx="1">
                  <c:v>228</c:v>
                </c:pt>
                <c:pt idx="2">
                  <c:v>78</c:v>
                </c:pt>
                <c:pt idx="3">
                  <c:v>191</c:v>
                </c:pt>
                <c:pt idx="4">
                  <c:v>178</c:v>
                </c:pt>
                <c:pt idx="5">
                  <c:v>201</c:v>
                </c:pt>
                <c:pt idx="6">
                  <c:v>193</c:v>
                </c:pt>
                <c:pt idx="7">
                  <c:v>257</c:v>
                </c:pt>
                <c:pt idx="8">
                  <c:v>183</c:v>
                </c:pt>
                <c:pt idx="9">
                  <c:v>256</c:v>
                </c:pt>
                <c:pt idx="10">
                  <c:v>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F1F-4544-A3B9-23B6184D29A5}"/>
            </c:ext>
          </c:extLst>
        </c:ser>
        <c:ser>
          <c:idx val="6"/>
          <c:order val="2"/>
          <c:tx>
            <c:strRef>
              <c:f>Sheet1!$H$2</c:f>
              <c:strCache>
                <c:ptCount val="1"/>
                <c:pt idx="0">
                  <c:v>6 Freestyle</c:v>
                </c:pt>
              </c:strCache>
            </c:strRef>
          </c:tx>
          <c:spPr>
            <a:ln w="19050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Sheet1!$B$16:$B$29</c:f>
              <c:strCache>
                <c:ptCount val="1"/>
                <c:pt idx="0">
                  <c:v>All Runs</c:v>
                </c:pt>
              </c:strCache>
            </c:strRef>
          </c:cat>
          <c:val>
            <c:numRef>
              <c:f>Sheet1!$H$16:$H$29</c:f>
              <c:numCache>
                <c:formatCode>General</c:formatCode>
                <c:ptCount val="14"/>
                <c:pt idx="2">
                  <c:v>421</c:v>
                </c:pt>
                <c:pt idx="3">
                  <c:v>224</c:v>
                </c:pt>
                <c:pt idx="4">
                  <c:v>809</c:v>
                </c:pt>
                <c:pt idx="5">
                  <c:v>129</c:v>
                </c:pt>
                <c:pt idx="6">
                  <c:v>39</c:v>
                </c:pt>
                <c:pt idx="7">
                  <c:v>49</c:v>
                </c:pt>
                <c:pt idx="8">
                  <c:v>239</c:v>
                </c:pt>
                <c:pt idx="9">
                  <c:v>248</c:v>
                </c:pt>
                <c:pt idx="10">
                  <c:v>262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F1F-4544-A3B9-23B6184D29A5}"/>
            </c:ext>
          </c:extLst>
        </c:ser>
        <c:ser>
          <c:idx val="0"/>
          <c:order val="3"/>
          <c:tx>
            <c:strRef>
              <c:f>Sheet1!$J$2</c:f>
              <c:strCache>
                <c:ptCount val="1"/>
                <c:pt idx="0">
                  <c:v>7 Freestyle</c:v>
                </c:pt>
              </c:strCache>
            </c:strRef>
          </c:tx>
          <c:spPr>
            <a:ln w="19050">
              <a:solidFill>
                <a:srgbClr val="994010"/>
              </a:solidFill>
            </a:ln>
          </c:spPr>
          <c:marker>
            <c:symbol val="none"/>
          </c:marker>
          <c:val>
            <c:numRef>
              <c:f>Sheet1!$J$16:$J$29</c:f>
              <c:numCache>
                <c:formatCode>General</c:formatCode>
                <c:ptCount val="14"/>
                <c:pt idx="2">
                  <c:v>345</c:v>
                </c:pt>
                <c:pt idx="3">
                  <c:v>338</c:v>
                </c:pt>
                <c:pt idx="4">
                  <c:v>212</c:v>
                </c:pt>
                <c:pt idx="5">
                  <c:v>153</c:v>
                </c:pt>
                <c:pt idx="6">
                  <c:v>184</c:v>
                </c:pt>
                <c:pt idx="7">
                  <c:v>176</c:v>
                </c:pt>
                <c:pt idx="8">
                  <c:v>179</c:v>
                </c:pt>
                <c:pt idx="9">
                  <c:v>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C7A-4D7E-8C23-20D23D40DE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0609439"/>
        <c:axId val="1430609919"/>
      </c:lineChart>
      <c:catAx>
        <c:axId val="143060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919"/>
        <c:crosses val="autoZero"/>
        <c:auto val="1"/>
        <c:lblAlgn val="ctr"/>
        <c:lblOffset val="100"/>
        <c:tickMarkSkip val="1"/>
        <c:noMultiLvlLbl val="0"/>
      </c:catAx>
      <c:valAx>
        <c:axId val="1430609919"/>
        <c:scaling>
          <c:orientation val="minMax"/>
          <c:max val="9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</a:t>
                </a:r>
                <a:r>
                  <a:rPr lang="en-US" baseline="0"/>
                  <a:t> to wall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439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8"/>
          <c:order val="0"/>
          <c:tx>
            <c:strRef>
              <c:f>Sheet1!$D$2</c:f>
              <c:strCache>
                <c:ptCount val="1"/>
                <c:pt idx="0">
                  <c:v>4 Freestyle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Sheet1!$D$31:$D$44</c:f>
              <c:numCache>
                <c:formatCode>General</c:formatCode>
                <c:ptCount val="14"/>
                <c:pt idx="8">
                  <c:v>99</c:v>
                </c:pt>
                <c:pt idx="9">
                  <c:v>87</c:v>
                </c:pt>
                <c:pt idx="10">
                  <c:v>95</c:v>
                </c:pt>
                <c:pt idx="11">
                  <c:v>81</c:v>
                </c:pt>
                <c:pt idx="12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B1FF-4D4B-80A3-ACE12560F529}"/>
            </c:ext>
          </c:extLst>
        </c:ser>
        <c:ser>
          <c:idx val="9"/>
          <c:order val="1"/>
          <c:tx>
            <c:strRef>
              <c:f>Sheet1!$F$2</c:f>
              <c:strCache>
                <c:ptCount val="1"/>
                <c:pt idx="0">
                  <c:v>5 Freestyle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Sheet1!$F$31:$F$44</c:f>
              <c:numCache>
                <c:formatCode>General</c:formatCode>
                <c:ptCount val="14"/>
                <c:pt idx="6">
                  <c:v>193</c:v>
                </c:pt>
                <c:pt idx="7">
                  <c:v>257</c:v>
                </c:pt>
                <c:pt idx="8">
                  <c:v>183</c:v>
                </c:pt>
                <c:pt idx="9">
                  <c:v>256</c:v>
                </c:pt>
                <c:pt idx="10">
                  <c:v>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B1FF-4D4B-80A3-ACE12560F529}"/>
            </c:ext>
          </c:extLst>
        </c:ser>
        <c:ser>
          <c:idx val="10"/>
          <c:order val="2"/>
          <c:tx>
            <c:strRef>
              <c:f>Sheet1!$H$2</c:f>
              <c:strCache>
                <c:ptCount val="1"/>
                <c:pt idx="0">
                  <c:v>6 Freestyle</c:v>
                </c:pt>
              </c:strCache>
            </c:strRef>
          </c:tx>
          <c:spPr>
            <a:ln w="19050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Sheet1!$H$31:$H$44</c:f>
              <c:numCache>
                <c:formatCode>General</c:formatCode>
                <c:ptCount val="14"/>
                <c:pt idx="6">
                  <c:v>39</c:v>
                </c:pt>
                <c:pt idx="7">
                  <c:v>49</c:v>
                </c:pt>
                <c:pt idx="8">
                  <c:v>239</c:v>
                </c:pt>
                <c:pt idx="9">
                  <c:v>248</c:v>
                </c:pt>
                <c:pt idx="10">
                  <c:v>262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B1FF-4D4B-80A3-ACE12560F529}"/>
            </c:ext>
          </c:extLst>
        </c:ser>
        <c:ser>
          <c:idx val="0"/>
          <c:order val="3"/>
          <c:tx>
            <c:strRef>
              <c:f>Sheet1!$J$2</c:f>
              <c:strCache>
                <c:ptCount val="1"/>
                <c:pt idx="0">
                  <c:v>7 Freestyle</c:v>
                </c:pt>
              </c:strCache>
            </c:strRef>
          </c:tx>
          <c:spPr>
            <a:ln w="19050">
              <a:solidFill>
                <a:srgbClr val="994010"/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Sheet1!$J$31:$J$44</c:f>
              <c:numCache>
                <c:formatCode>General</c:formatCode>
                <c:ptCount val="14"/>
                <c:pt idx="5">
                  <c:v>153</c:v>
                </c:pt>
                <c:pt idx="6">
                  <c:v>184</c:v>
                </c:pt>
                <c:pt idx="7">
                  <c:v>176</c:v>
                </c:pt>
                <c:pt idx="8">
                  <c:v>179</c:v>
                </c:pt>
                <c:pt idx="9">
                  <c:v>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1FF-4D4B-80A3-ACE12560F529}"/>
            </c:ext>
          </c:extLst>
        </c:ser>
        <c:ser>
          <c:idx val="1"/>
          <c:order val="4"/>
          <c:tx>
            <c:strRef>
              <c:f>Sheet1!$C$2</c:f>
              <c:strCache>
                <c:ptCount val="1"/>
                <c:pt idx="0">
                  <c:v>4 SE</c:v>
                </c:pt>
              </c:strCache>
            </c:strRef>
          </c:tx>
          <c:spPr>
            <a:ln w="19050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Sheet1!$C$31:$C$44</c:f>
              <c:numCache>
                <c:formatCode>General</c:formatCode>
                <c:ptCount val="14"/>
                <c:pt idx="9">
                  <c:v>197</c:v>
                </c:pt>
                <c:pt idx="10">
                  <c:v>171</c:v>
                </c:pt>
                <c:pt idx="11">
                  <c:v>198</c:v>
                </c:pt>
                <c:pt idx="12">
                  <c:v>196</c:v>
                </c:pt>
                <c:pt idx="13">
                  <c:v>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1FF-4D4B-80A3-ACE12560F529}"/>
            </c:ext>
          </c:extLst>
        </c:ser>
        <c:ser>
          <c:idx val="2"/>
          <c:order val="5"/>
          <c:tx>
            <c:strRef>
              <c:f>Sheet1!$E$2</c:f>
              <c:strCache>
                <c:ptCount val="1"/>
                <c:pt idx="0">
                  <c:v>5 SE</c:v>
                </c:pt>
              </c:strCache>
            </c:strRef>
          </c:tx>
          <c:spPr>
            <a:ln w="19050">
              <a:solidFill>
                <a:schemeClr val="accent1">
                  <a:lumMod val="60000"/>
                  <a:lumOff val="40000"/>
                </a:schemeClr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Sheet1!$E$31:$E$44</c:f>
              <c:numCache>
                <c:formatCode>General</c:formatCode>
                <c:ptCount val="14"/>
                <c:pt idx="6">
                  <c:v>72</c:v>
                </c:pt>
                <c:pt idx="7">
                  <c:v>71</c:v>
                </c:pt>
                <c:pt idx="8">
                  <c:v>62</c:v>
                </c:pt>
                <c:pt idx="9">
                  <c:v>72</c:v>
                </c:pt>
                <c:pt idx="10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B1FF-4D4B-80A3-ACE12560F529}"/>
            </c:ext>
          </c:extLst>
        </c:ser>
        <c:ser>
          <c:idx val="4"/>
          <c:order val="6"/>
          <c:tx>
            <c:strRef>
              <c:f>Sheet1!$G$2</c:f>
              <c:strCache>
                <c:ptCount val="1"/>
                <c:pt idx="0">
                  <c:v>6 SE</c:v>
                </c:pt>
              </c:strCache>
            </c:strRef>
          </c:tx>
          <c:spPr>
            <a:ln w="19050">
              <a:solidFill>
                <a:schemeClr val="accent4">
                  <a:lumMod val="75000"/>
                </a:schemeClr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Sheet1!$G$31:$G$44</c:f>
              <c:numCache>
                <c:formatCode>General</c:formatCode>
                <c:ptCount val="14"/>
                <c:pt idx="5">
                  <c:v>157</c:v>
                </c:pt>
                <c:pt idx="6">
                  <c:v>135</c:v>
                </c:pt>
                <c:pt idx="7">
                  <c:v>145</c:v>
                </c:pt>
                <c:pt idx="8">
                  <c:v>147</c:v>
                </c:pt>
                <c:pt idx="9">
                  <c:v>156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1FF-4D4B-80A3-ACE12560F529}"/>
            </c:ext>
          </c:extLst>
        </c:ser>
        <c:ser>
          <c:idx val="7"/>
          <c:order val="7"/>
          <c:tx>
            <c:strRef>
              <c:f>Sheet1!$I$2</c:f>
              <c:strCache>
                <c:ptCount val="1"/>
                <c:pt idx="0">
                  <c:v>7 SE</c:v>
                </c:pt>
              </c:strCache>
            </c:strRef>
          </c:tx>
          <c:spPr>
            <a:ln w="19050">
              <a:solidFill>
                <a:schemeClr val="accent5">
                  <a:lumMod val="75000"/>
                </a:schemeClr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Sheet1!$I$31:$I$44</c:f>
              <c:numCache>
                <c:formatCode>General</c:formatCode>
                <c:ptCount val="14"/>
                <c:pt idx="6">
                  <c:v>46</c:v>
                </c:pt>
                <c:pt idx="7">
                  <c:v>45</c:v>
                </c:pt>
                <c:pt idx="8">
                  <c:v>32</c:v>
                </c:pt>
                <c:pt idx="9">
                  <c:v>51</c:v>
                </c:pt>
                <c:pt idx="10">
                  <c:v>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B1FF-4D4B-80A3-ACE12560F529}"/>
            </c:ext>
          </c:extLst>
        </c:ser>
        <c:ser>
          <c:idx val="3"/>
          <c:order val="8"/>
          <c:tx>
            <c:strRef>
              <c:f>Sheet1!$K$2</c:f>
              <c:strCache>
                <c:ptCount val="1"/>
                <c:pt idx="0">
                  <c:v>8 SE</c:v>
                </c:pt>
              </c:strCache>
            </c:strRef>
          </c:tx>
          <c:spPr>
            <a:ln w="19050">
              <a:solidFill>
                <a:schemeClr val="tx2"/>
              </a:solidFill>
            </a:ln>
          </c:spPr>
          <c:marker>
            <c:symbol val="none"/>
          </c:marker>
          <c:val>
            <c:numRef>
              <c:f>Sheet1!$K$31:$K$44</c:f>
              <c:numCache>
                <c:formatCode>General</c:formatCode>
                <c:ptCount val="14"/>
                <c:pt idx="5">
                  <c:v>31</c:v>
                </c:pt>
                <c:pt idx="6">
                  <c:v>47</c:v>
                </c:pt>
                <c:pt idx="7">
                  <c:v>50</c:v>
                </c:pt>
                <c:pt idx="8">
                  <c:v>41</c:v>
                </c:pt>
                <c:pt idx="9">
                  <c:v>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36-4951-A04D-A204DB22F441}"/>
            </c:ext>
          </c:extLst>
        </c:ser>
        <c:ser>
          <c:idx val="5"/>
          <c:order val="9"/>
          <c:tx>
            <c:strRef>
              <c:f>Sheet1!$L$2</c:f>
              <c:strCache>
                <c:ptCount val="1"/>
                <c:pt idx="0">
                  <c:v>9 SE</c:v>
                </c:pt>
              </c:strCache>
            </c:strRef>
          </c:tx>
          <c:spPr>
            <a:ln w="19050">
              <a:solidFill>
                <a:schemeClr val="bg2">
                  <a:lumMod val="25000"/>
                </a:schemeClr>
              </a:solidFill>
            </a:ln>
          </c:spPr>
          <c:marker>
            <c:symbol val="none"/>
          </c:marker>
          <c:val>
            <c:numRef>
              <c:f>Sheet1!$L$31:$L$44</c:f>
              <c:numCache>
                <c:formatCode>General</c:formatCode>
                <c:ptCount val="14"/>
                <c:pt idx="5">
                  <c:v>19</c:v>
                </c:pt>
                <c:pt idx="6">
                  <c:v>22</c:v>
                </c:pt>
                <c:pt idx="7">
                  <c:v>14</c:v>
                </c:pt>
                <c:pt idx="8">
                  <c:v>30</c:v>
                </c:pt>
                <c:pt idx="9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1B9-4F21-BBBD-D1E8480DC0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0609439"/>
        <c:axId val="1430609919"/>
      </c:lineChart>
      <c:catAx>
        <c:axId val="143060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919"/>
        <c:crosses val="autoZero"/>
        <c:auto val="1"/>
        <c:lblAlgn val="ctr"/>
        <c:lblOffset val="100"/>
        <c:tickMarkSkip val="1"/>
        <c:noMultiLvlLbl val="0"/>
      </c:catAx>
      <c:valAx>
        <c:axId val="143060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</a:t>
                </a:r>
                <a:r>
                  <a:rPr lang="en-US" baseline="0"/>
                  <a:t> to wall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439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6"/>
          <c:order val="0"/>
          <c:tx>
            <c:strRef>
              <c:f>Sheet1!$C$2</c:f>
              <c:strCache>
                <c:ptCount val="1"/>
                <c:pt idx="0">
                  <c:v>4 SE</c:v>
                </c:pt>
              </c:strCache>
            </c:strRef>
          </c:tx>
          <c:spPr>
            <a:ln w="19050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Sheet1!$C$31:$C$44</c:f>
              <c:numCache>
                <c:formatCode>General</c:formatCode>
                <c:ptCount val="14"/>
                <c:pt idx="9">
                  <c:v>197</c:v>
                </c:pt>
                <c:pt idx="10">
                  <c:v>171</c:v>
                </c:pt>
                <c:pt idx="11">
                  <c:v>198</c:v>
                </c:pt>
                <c:pt idx="12">
                  <c:v>196</c:v>
                </c:pt>
                <c:pt idx="13">
                  <c:v>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A6C0-4023-9A7E-0D1793622C78}"/>
            </c:ext>
          </c:extLst>
        </c:ser>
        <c:ser>
          <c:idx val="11"/>
          <c:order val="1"/>
          <c:tx>
            <c:strRef>
              <c:f>Sheet1!$E$2</c:f>
              <c:strCache>
                <c:ptCount val="1"/>
                <c:pt idx="0">
                  <c:v>5 SE</c:v>
                </c:pt>
              </c:strCache>
            </c:strRef>
          </c:tx>
          <c:spPr>
            <a:ln w="19050">
              <a:solidFill>
                <a:schemeClr val="accent1">
                  <a:lumMod val="60000"/>
                  <a:lumOff val="40000"/>
                </a:schemeClr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Sheet1!$E$31:$E$44</c:f>
              <c:numCache>
                <c:formatCode>General</c:formatCode>
                <c:ptCount val="14"/>
                <c:pt idx="6">
                  <c:v>72</c:v>
                </c:pt>
                <c:pt idx="7">
                  <c:v>71</c:v>
                </c:pt>
                <c:pt idx="8">
                  <c:v>62</c:v>
                </c:pt>
                <c:pt idx="9">
                  <c:v>72</c:v>
                </c:pt>
                <c:pt idx="10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A6C0-4023-9A7E-0D1793622C78}"/>
            </c:ext>
          </c:extLst>
        </c:ser>
        <c:ser>
          <c:idx val="12"/>
          <c:order val="2"/>
          <c:tx>
            <c:strRef>
              <c:f>Sheet1!$G$2</c:f>
              <c:strCache>
                <c:ptCount val="1"/>
                <c:pt idx="0">
                  <c:v>6 SE</c:v>
                </c:pt>
              </c:strCache>
            </c:strRef>
          </c:tx>
          <c:spPr>
            <a:ln w="19050">
              <a:solidFill>
                <a:schemeClr val="accent4">
                  <a:lumMod val="75000"/>
                </a:schemeClr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Sheet1!$G$31:$G$44</c:f>
              <c:numCache>
                <c:formatCode>General</c:formatCode>
                <c:ptCount val="14"/>
                <c:pt idx="5">
                  <c:v>157</c:v>
                </c:pt>
                <c:pt idx="6">
                  <c:v>135</c:v>
                </c:pt>
                <c:pt idx="7">
                  <c:v>145</c:v>
                </c:pt>
                <c:pt idx="8">
                  <c:v>147</c:v>
                </c:pt>
                <c:pt idx="9">
                  <c:v>156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A6C0-4023-9A7E-0D1793622C78}"/>
            </c:ext>
          </c:extLst>
        </c:ser>
        <c:ser>
          <c:idx val="13"/>
          <c:order val="3"/>
          <c:tx>
            <c:strRef>
              <c:f>Sheet1!$I$2</c:f>
              <c:strCache>
                <c:ptCount val="1"/>
                <c:pt idx="0">
                  <c:v>7 SE</c:v>
                </c:pt>
              </c:strCache>
            </c:strRef>
          </c:tx>
          <c:spPr>
            <a:ln w="19050">
              <a:solidFill>
                <a:schemeClr val="accent5">
                  <a:lumMod val="75000"/>
                </a:schemeClr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Sheet1!$I$31:$I$44</c:f>
              <c:numCache>
                <c:formatCode>General</c:formatCode>
                <c:ptCount val="14"/>
                <c:pt idx="6">
                  <c:v>46</c:v>
                </c:pt>
                <c:pt idx="7">
                  <c:v>45</c:v>
                </c:pt>
                <c:pt idx="8">
                  <c:v>32</c:v>
                </c:pt>
                <c:pt idx="9">
                  <c:v>51</c:v>
                </c:pt>
                <c:pt idx="10">
                  <c:v>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A6C0-4023-9A7E-0D1793622C78}"/>
            </c:ext>
          </c:extLst>
        </c:ser>
        <c:ser>
          <c:idx val="14"/>
          <c:order val="4"/>
          <c:tx>
            <c:strRef>
              <c:f>Sheet1!$K$2</c:f>
              <c:strCache>
                <c:ptCount val="1"/>
                <c:pt idx="0">
                  <c:v>8 SE</c:v>
                </c:pt>
              </c:strCache>
            </c:strRef>
          </c:tx>
          <c:spPr>
            <a:ln w="19050">
              <a:solidFill>
                <a:schemeClr val="tx2"/>
              </a:solidFill>
            </a:ln>
          </c:spPr>
          <c:marker>
            <c:symbol val="none"/>
          </c:marker>
          <c:val>
            <c:numRef>
              <c:f>Sheet1!$K$31:$K$44</c:f>
              <c:numCache>
                <c:formatCode>General</c:formatCode>
                <c:ptCount val="14"/>
                <c:pt idx="5">
                  <c:v>31</c:v>
                </c:pt>
                <c:pt idx="6">
                  <c:v>47</c:v>
                </c:pt>
                <c:pt idx="7">
                  <c:v>50</c:v>
                </c:pt>
                <c:pt idx="8">
                  <c:v>41</c:v>
                </c:pt>
                <c:pt idx="9">
                  <c:v>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A6C0-4023-9A7E-0D1793622C78}"/>
            </c:ext>
          </c:extLst>
        </c:ser>
        <c:ser>
          <c:idx val="5"/>
          <c:order val="5"/>
          <c:tx>
            <c:strRef>
              <c:f>Sheet1!$L$2</c:f>
              <c:strCache>
                <c:ptCount val="1"/>
                <c:pt idx="0">
                  <c:v>9 SE</c:v>
                </c:pt>
              </c:strCache>
            </c:strRef>
          </c:tx>
          <c:spPr>
            <a:ln w="19050">
              <a:solidFill>
                <a:schemeClr val="bg2">
                  <a:lumMod val="25000"/>
                </a:schemeClr>
              </a:solidFill>
            </a:ln>
          </c:spPr>
          <c:marker>
            <c:symbol val="none"/>
          </c:marker>
          <c:val>
            <c:numRef>
              <c:f>Sheet1!$L$31:$L$44</c:f>
              <c:numCache>
                <c:formatCode>General</c:formatCode>
                <c:ptCount val="14"/>
                <c:pt idx="5">
                  <c:v>19</c:v>
                </c:pt>
                <c:pt idx="6">
                  <c:v>22</c:v>
                </c:pt>
                <c:pt idx="7">
                  <c:v>14</c:v>
                </c:pt>
                <c:pt idx="8">
                  <c:v>30</c:v>
                </c:pt>
                <c:pt idx="9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A6C0-4023-9A7E-0D1793622C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0609439"/>
        <c:axId val="1430609919"/>
      </c:lineChart>
      <c:catAx>
        <c:axId val="143060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919"/>
        <c:crosses val="autoZero"/>
        <c:auto val="1"/>
        <c:lblAlgn val="ctr"/>
        <c:lblOffset val="100"/>
        <c:tickMarkSkip val="1"/>
        <c:noMultiLvlLbl val="0"/>
      </c:catAx>
      <c:valAx>
        <c:axId val="143060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</a:t>
                </a:r>
                <a:r>
                  <a:rPr lang="en-US" baseline="0"/>
                  <a:t> to wall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439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1"/>
          <c:order val="0"/>
          <c:tx>
            <c:strRef>
              <c:f>Sheet1!$D$2</c:f>
              <c:strCache>
                <c:ptCount val="1"/>
                <c:pt idx="0">
                  <c:v>4 Freestyle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Sheet1!$D$31:$D$44</c:f>
              <c:numCache>
                <c:formatCode>General</c:formatCode>
                <c:ptCount val="14"/>
                <c:pt idx="8">
                  <c:v>99</c:v>
                </c:pt>
                <c:pt idx="9">
                  <c:v>87</c:v>
                </c:pt>
                <c:pt idx="10">
                  <c:v>95</c:v>
                </c:pt>
                <c:pt idx="11">
                  <c:v>81</c:v>
                </c:pt>
                <c:pt idx="12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2A8B-4FCD-A936-58F370E83733}"/>
            </c:ext>
          </c:extLst>
        </c:ser>
        <c:ser>
          <c:idx val="12"/>
          <c:order val="1"/>
          <c:tx>
            <c:strRef>
              <c:f>Sheet1!$F$2</c:f>
              <c:strCache>
                <c:ptCount val="1"/>
                <c:pt idx="0">
                  <c:v>5 Freestyle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Sheet1!$F$31:$F$44</c:f>
              <c:numCache>
                <c:formatCode>General</c:formatCode>
                <c:ptCount val="14"/>
                <c:pt idx="6">
                  <c:v>193</c:v>
                </c:pt>
                <c:pt idx="7">
                  <c:v>257</c:v>
                </c:pt>
                <c:pt idx="8">
                  <c:v>183</c:v>
                </c:pt>
                <c:pt idx="9">
                  <c:v>256</c:v>
                </c:pt>
                <c:pt idx="10">
                  <c:v>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2A8B-4FCD-A936-58F370E83733}"/>
            </c:ext>
          </c:extLst>
        </c:ser>
        <c:ser>
          <c:idx val="13"/>
          <c:order val="2"/>
          <c:tx>
            <c:strRef>
              <c:f>Sheet1!$H$2</c:f>
              <c:strCache>
                <c:ptCount val="1"/>
                <c:pt idx="0">
                  <c:v>6 Freestyle</c:v>
                </c:pt>
              </c:strCache>
            </c:strRef>
          </c:tx>
          <c:spPr>
            <a:ln w="19050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Sheet1!$H$31:$H$44</c:f>
              <c:numCache>
                <c:formatCode>General</c:formatCode>
                <c:ptCount val="14"/>
                <c:pt idx="6">
                  <c:v>39</c:v>
                </c:pt>
                <c:pt idx="7">
                  <c:v>49</c:v>
                </c:pt>
                <c:pt idx="8">
                  <c:v>239</c:v>
                </c:pt>
                <c:pt idx="9">
                  <c:v>248</c:v>
                </c:pt>
                <c:pt idx="10">
                  <c:v>262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2A8B-4FCD-A936-58F370E83733}"/>
            </c:ext>
          </c:extLst>
        </c:ser>
        <c:ser>
          <c:idx val="0"/>
          <c:order val="3"/>
          <c:tx>
            <c:strRef>
              <c:f>Sheet1!$J$2</c:f>
              <c:strCache>
                <c:ptCount val="1"/>
                <c:pt idx="0">
                  <c:v>7 Freestyle</c:v>
                </c:pt>
              </c:strCache>
            </c:strRef>
          </c:tx>
          <c:spPr>
            <a:ln w="19050">
              <a:solidFill>
                <a:srgbClr val="994010"/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Sheet1!$J$31:$J$44</c:f>
              <c:numCache>
                <c:formatCode>General</c:formatCode>
                <c:ptCount val="14"/>
                <c:pt idx="5">
                  <c:v>153</c:v>
                </c:pt>
                <c:pt idx="6">
                  <c:v>184</c:v>
                </c:pt>
                <c:pt idx="7">
                  <c:v>176</c:v>
                </c:pt>
                <c:pt idx="8">
                  <c:v>179</c:v>
                </c:pt>
                <c:pt idx="9">
                  <c:v>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2A8B-4FCD-A936-58F370E837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0609439"/>
        <c:axId val="1430609919"/>
      </c:lineChart>
      <c:catAx>
        <c:axId val="143060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919"/>
        <c:crosses val="autoZero"/>
        <c:auto val="1"/>
        <c:lblAlgn val="ctr"/>
        <c:lblOffset val="100"/>
        <c:tickMarkSkip val="1"/>
        <c:noMultiLvlLbl val="0"/>
      </c:catAx>
      <c:valAx>
        <c:axId val="1430609919"/>
        <c:scaling>
          <c:orientation val="minMax"/>
          <c:max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</a:t>
                </a:r>
                <a:r>
                  <a:rPr lang="en-US" baseline="0"/>
                  <a:t> to wall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439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8"/>
          <c:order val="0"/>
          <c:tx>
            <c:strRef>
              <c:f>Sheet1!$D$2</c:f>
              <c:strCache>
                <c:ptCount val="1"/>
                <c:pt idx="0">
                  <c:v>4 Freestyle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Sheet1!$D$31:$D$44</c:f>
              <c:numCache>
                <c:formatCode>General</c:formatCode>
                <c:ptCount val="14"/>
                <c:pt idx="8">
                  <c:v>99</c:v>
                </c:pt>
                <c:pt idx="9">
                  <c:v>87</c:v>
                </c:pt>
                <c:pt idx="10">
                  <c:v>95</c:v>
                </c:pt>
                <c:pt idx="11">
                  <c:v>81</c:v>
                </c:pt>
                <c:pt idx="12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4F-4D71-A167-9AB09D3CA728}"/>
            </c:ext>
          </c:extLst>
        </c:ser>
        <c:ser>
          <c:idx val="9"/>
          <c:order val="1"/>
          <c:tx>
            <c:strRef>
              <c:f>Sheet1!$F$2</c:f>
              <c:strCache>
                <c:ptCount val="1"/>
                <c:pt idx="0">
                  <c:v>5 Freestyle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Sheet1!$F$31:$F$44</c:f>
              <c:numCache>
                <c:formatCode>General</c:formatCode>
                <c:ptCount val="14"/>
                <c:pt idx="6">
                  <c:v>193</c:v>
                </c:pt>
                <c:pt idx="7">
                  <c:v>257</c:v>
                </c:pt>
                <c:pt idx="8">
                  <c:v>183</c:v>
                </c:pt>
                <c:pt idx="9">
                  <c:v>256</c:v>
                </c:pt>
                <c:pt idx="10">
                  <c:v>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4F-4D71-A167-9AB09D3CA728}"/>
            </c:ext>
          </c:extLst>
        </c:ser>
        <c:ser>
          <c:idx val="10"/>
          <c:order val="2"/>
          <c:tx>
            <c:strRef>
              <c:f>Sheet1!$H$2</c:f>
              <c:strCache>
                <c:ptCount val="1"/>
                <c:pt idx="0">
                  <c:v>6 Freestyle</c:v>
                </c:pt>
              </c:strCache>
            </c:strRef>
          </c:tx>
          <c:spPr>
            <a:ln w="19050">
              <a:solidFill>
                <a:schemeClr val="accent2"/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Sheet1!$H$31:$H$44</c:f>
              <c:numCache>
                <c:formatCode>General</c:formatCode>
                <c:ptCount val="14"/>
                <c:pt idx="6">
                  <c:v>39</c:v>
                </c:pt>
                <c:pt idx="7">
                  <c:v>49</c:v>
                </c:pt>
                <c:pt idx="8">
                  <c:v>239</c:v>
                </c:pt>
                <c:pt idx="9">
                  <c:v>248</c:v>
                </c:pt>
                <c:pt idx="10">
                  <c:v>262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4F-4D71-A167-9AB09D3CA728}"/>
            </c:ext>
          </c:extLst>
        </c:ser>
        <c:ser>
          <c:idx val="0"/>
          <c:order val="3"/>
          <c:tx>
            <c:strRef>
              <c:f>Sheet1!$J$2</c:f>
              <c:strCache>
                <c:ptCount val="1"/>
                <c:pt idx="0">
                  <c:v>7 Freestyle</c:v>
                </c:pt>
              </c:strCache>
            </c:strRef>
          </c:tx>
          <c:spPr>
            <a:ln w="19050">
              <a:solidFill>
                <a:schemeClr val="accent2"/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Sheet1!$J$31:$J$44</c:f>
              <c:numCache>
                <c:formatCode>General</c:formatCode>
                <c:ptCount val="14"/>
                <c:pt idx="5">
                  <c:v>153</c:v>
                </c:pt>
                <c:pt idx="6">
                  <c:v>184</c:v>
                </c:pt>
                <c:pt idx="7">
                  <c:v>176</c:v>
                </c:pt>
                <c:pt idx="8">
                  <c:v>179</c:v>
                </c:pt>
                <c:pt idx="9">
                  <c:v>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24F-4D71-A167-9AB09D3CA728}"/>
            </c:ext>
          </c:extLst>
        </c:ser>
        <c:ser>
          <c:idx val="2"/>
          <c:order val="4"/>
          <c:tx>
            <c:strRef>
              <c:f>Sheet1!$C$2</c:f>
              <c:strCache>
                <c:ptCount val="1"/>
                <c:pt idx="0">
                  <c:v>4 SE</c:v>
                </c:pt>
              </c:strCache>
            </c:strRef>
          </c:tx>
          <c:spPr>
            <a:ln w="19050">
              <a:solidFill>
                <a:schemeClr val="accent6"/>
              </a:solidFill>
            </a:ln>
          </c:spPr>
          <c:marker>
            <c:symbol val="none"/>
          </c:marker>
          <c:val>
            <c:numRef>
              <c:f>Sheet1!$C$31:$C$44</c:f>
              <c:numCache>
                <c:formatCode>General</c:formatCode>
                <c:ptCount val="14"/>
                <c:pt idx="9">
                  <c:v>197</c:v>
                </c:pt>
                <c:pt idx="10">
                  <c:v>171</c:v>
                </c:pt>
                <c:pt idx="11">
                  <c:v>198</c:v>
                </c:pt>
                <c:pt idx="12">
                  <c:v>196</c:v>
                </c:pt>
                <c:pt idx="13">
                  <c:v>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6-46CF-4328-9CE8-DAB51F346284}"/>
            </c:ext>
          </c:extLst>
        </c:ser>
        <c:ser>
          <c:idx val="4"/>
          <c:order val="5"/>
          <c:tx>
            <c:strRef>
              <c:f>Sheet1!$E$2</c:f>
              <c:strCache>
                <c:ptCount val="1"/>
                <c:pt idx="0">
                  <c:v>5 SE</c:v>
                </c:pt>
              </c:strCache>
            </c:strRef>
          </c:tx>
          <c:spPr>
            <a:ln w="19050">
              <a:solidFill>
                <a:schemeClr val="accent4"/>
              </a:solidFill>
            </a:ln>
          </c:spPr>
          <c:marker>
            <c:symbol val="none"/>
          </c:marker>
          <c:val>
            <c:numRef>
              <c:f>Sheet1!$E$31:$E$44</c:f>
              <c:numCache>
                <c:formatCode>General</c:formatCode>
                <c:ptCount val="14"/>
                <c:pt idx="6">
                  <c:v>72</c:v>
                </c:pt>
                <c:pt idx="7">
                  <c:v>71</c:v>
                </c:pt>
                <c:pt idx="8">
                  <c:v>62</c:v>
                </c:pt>
                <c:pt idx="9">
                  <c:v>72</c:v>
                </c:pt>
                <c:pt idx="10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7-46CF-4328-9CE8-DAB51F346284}"/>
            </c:ext>
          </c:extLst>
        </c:ser>
        <c:ser>
          <c:idx val="5"/>
          <c:order val="6"/>
          <c:tx>
            <c:strRef>
              <c:f>Sheet1!$G$2</c:f>
              <c:strCache>
                <c:ptCount val="1"/>
                <c:pt idx="0">
                  <c:v>6 SE</c:v>
                </c:pt>
              </c:strCache>
            </c:strRef>
          </c:tx>
          <c:spPr>
            <a:ln w="19050">
              <a:solidFill>
                <a:schemeClr val="accent4">
                  <a:lumMod val="75000"/>
                </a:schemeClr>
              </a:solidFill>
            </a:ln>
          </c:spPr>
          <c:marker>
            <c:symbol val="none"/>
          </c:marker>
          <c:val>
            <c:numRef>
              <c:f>Sheet1!$G$31:$G$44</c:f>
              <c:numCache>
                <c:formatCode>General</c:formatCode>
                <c:ptCount val="14"/>
                <c:pt idx="5">
                  <c:v>157</c:v>
                </c:pt>
                <c:pt idx="6">
                  <c:v>135</c:v>
                </c:pt>
                <c:pt idx="7">
                  <c:v>145</c:v>
                </c:pt>
                <c:pt idx="8">
                  <c:v>147</c:v>
                </c:pt>
                <c:pt idx="9">
                  <c:v>156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8-46CF-4328-9CE8-DAB51F346284}"/>
            </c:ext>
          </c:extLst>
        </c:ser>
        <c:ser>
          <c:idx val="7"/>
          <c:order val="7"/>
          <c:tx>
            <c:strRef>
              <c:f>Sheet1!$I$2</c:f>
              <c:strCache>
                <c:ptCount val="1"/>
                <c:pt idx="0">
                  <c:v>7 SE</c:v>
                </c:pt>
              </c:strCache>
            </c:strRef>
          </c:tx>
          <c:spPr>
            <a:ln w="19050">
              <a:solidFill>
                <a:schemeClr val="accent5">
                  <a:lumMod val="75000"/>
                </a:schemeClr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Sheet1!$I$31:$I$44</c:f>
              <c:numCache>
                <c:formatCode>General</c:formatCode>
                <c:ptCount val="14"/>
                <c:pt idx="6">
                  <c:v>46</c:v>
                </c:pt>
                <c:pt idx="7">
                  <c:v>45</c:v>
                </c:pt>
                <c:pt idx="8">
                  <c:v>32</c:v>
                </c:pt>
                <c:pt idx="9">
                  <c:v>51</c:v>
                </c:pt>
                <c:pt idx="10">
                  <c:v>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24F-4D71-A167-9AB09D3CA728}"/>
            </c:ext>
          </c:extLst>
        </c:ser>
        <c:ser>
          <c:idx val="3"/>
          <c:order val="8"/>
          <c:tx>
            <c:strRef>
              <c:f>Sheet1!$K$2</c:f>
              <c:strCache>
                <c:ptCount val="1"/>
                <c:pt idx="0">
                  <c:v>8 SE</c:v>
                </c:pt>
              </c:strCache>
            </c:strRef>
          </c:tx>
          <c:spPr>
            <a:ln w="19050">
              <a:solidFill>
                <a:schemeClr val="accent5">
                  <a:lumMod val="75000"/>
                </a:schemeClr>
              </a:solidFill>
            </a:ln>
          </c:spPr>
          <c:marker>
            <c:symbol val="none"/>
          </c:marker>
          <c:val>
            <c:numRef>
              <c:f>Sheet1!$K$31:$K$44</c:f>
              <c:numCache>
                <c:formatCode>General</c:formatCode>
                <c:ptCount val="14"/>
                <c:pt idx="5">
                  <c:v>31</c:v>
                </c:pt>
                <c:pt idx="6">
                  <c:v>47</c:v>
                </c:pt>
                <c:pt idx="7">
                  <c:v>50</c:v>
                </c:pt>
                <c:pt idx="8">
                  <c:v>41</c:v>
                </c:pt>
                <c:pt idx="9">
                  <c:v>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24F-4D71-A167-9AB09D3CA728}"/>
            </c:ext>
          </c:extLst>
        </c:ser>
        <c:ser>
          <c:idx val="1"/>
          <c:order val="9"/>
          <c:tx>
            <c:strRef>
              <c:f>Sheet1!$L$2</c:f>
              <c:strCache>
                <c:ptCount val="1"/>
                <c:pt idx="0">
                  <c:v>9 SE</c:v>
                </c:pt>
              </c:strCache>
            </c:strRef>
          </c:tx>
          <c:spPr>
            <a:ln w="19050">
              <a:solidFill>
                <a:schemeClr val="accent5">
                  <a:lumMod val="75000"/>
                </a:schemeClr>
              </a:solidFill>
            </a:ln>
          </c:spPr>
          <c:marker>
            <c:symbol val="none"/>
          </c:marker>
          <c:val>
            <c:numRef>
              <c:f>Sheet1!$L$31:$L$44</c:f>
              <c:numCache>
                <c:formatCode>General</c:formatCode>
                <c:ptCount val="14"/>
                <c:pt idx="5">
                  <c:v>19</c:v>
                </c:pt>
                <c:pt idx="6">
                  <c:v>22</c:v>
                </c:pt>
                <c:pt idx="7">
                  <c:v>14</c:v>
                </c:pt>
                <c:pt idx="8">
                  <c:v>30</c:v>
                </c:pt>
                <c:pt idx="9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46CF-4328-9CE8-DAB51F3462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0609439"/>
        <c:axId val="1430609919"/>
      </c:lineChart>
      <c:catAx>
        <c:axId val="143060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919"/>
        <c:crosses val="autoZero"/>
        <c:auto val="1"/>
        <c:lblAlgn val="ctr"/>
        <c:lblOffset val="100"/>
        <c:tickMarkSkip val="1"/>
        <c:noMultiLvlLbl val="0"/>
      </c:catAx>
      <c:valAx>
        <c:axId val="143060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</a:t>
                </a:r>
                <a:r>
                  <a:rPr lang="en-US" baseline="0"/>
                  <a:t> to wall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439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</xdr:row>
      <xdr:rowOff>0</xdr:rowOff>
    </xdr:from>
    <xdr:to>
      <xdr:col>18</xdr:col>
      <xdr:colOff>0</xdr:colOff>
      <xdr:row>14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16FD840-7DC9-A323-C601-D3C1664B55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0</xdr:colOff>
      <xdr:row>15</xdr:row>
      <xdr:rowOff>0</xdr:rowOff>
    </xdr:from>
    <xdr:to>
      <xdr:col>18</xdr:col>
      <xdr:colOff>0</xdr:colOff>
      <xdr:row>29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F4C806B-8AF9-498A-9CF9-59D8E5CB17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1</xdr:row>
      <xdr:rowOff>0</xdr:rowOff>
    </xdr:from>
    <xdr:to>
      <xdr:col>24</xdr:col>
      <xdr:colOff>0</xdr:colOff>
      <xdr:row>14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6906456-FC7D-4DBE-A0A2-536E88359A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0</xdr:colOff>
      <xdr:row>15</xdr:row>
      <xdr:rowOff>0</xdr:rowOff>
    </xdr:from>
    <xdr:to>
      <xdr:col>24</xdr:col>
      <xdr:colOff>0</xdr:colOff>
      <xdr:row>29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ECA2C64-86AC-471E-8FDD-2F11C099BD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0</xdr:colOff>
      <xdr:row>30</xdr:row>
      <xdr:rowOff>0</xdr:rowOff>
    </xdr:from>
    <xdr:to>
      <xdr:col>18</xdr:col>
      <xdr:colOff>0</xdr:colOff>
      <xdr:row>44</xdr:row>
      <xdr:rowOff>3810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8BF8654-A8BA-46C1-A9C4-90B7A1784C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0</xdr:colOff>
      <xdr:row>30</xdr:row>
      <xdr:rowOff>0</xdr:rowOff>
    </xdr:from>
    <xdr:to>
      <xdr:col>24</xdr:col>
      <xdr:colOff>0</xdr:colOff>
      <xdr:row>44</xdr:row>
      <xdr:rowOff>1792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E096AD7-3B11-4918-9452-B06BC2A9DA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19</xdr:col>
      <xdr:colOff>0</xdr:colOff>
      <xdr:row>45</xdr:row>
      <xdr:rowOff>0</xdr:rowOff>
    </xdr:from>
    <xdr:to>
      <xdr:col>24</xdr:col>
      <xdr:colOff>0</xdr:colOff>
      <xdr:row>59</xdr:row>
      <xdr:rowOff>4649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4FF5E7E-6FB9-4879-84F9-10C4C62657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0</xdr:colOff>
      <xdr:row>45</xdr:row>
      <xdr:rowOff>0</xdr:rowOff>
    </xdr:from>
    <xdr:to>
      <xdr:col>18</xdr:col>
      <xdr:colOff>0</xdr:colOff>
      <xdr:row>59</xdr:row>
      <xdr:rowOff>6667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11A54EE-129C-441A-917C-8A49D98F25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C483D-A2EB-4AB5-93A8-361DFBAB7337}">
  <dimension ref="B2:M44"/>
  <sheetViews>
    <sheetView tabSelected="1" zoomScale="85" zoomScaleNormal="85" workbookViewId="0"/>
  </sheetViews>
  <sheetFormatPr defaultRowHeight="14.25" x14ac:dyDescent="0.45"/>
  <cols>
    <col min="1" max="1" width="2.3984375" customWidth="1"/>
    <col min="2" max="2" width="11.59765625" bestFit="1" customWidth="1"/>
    <col min="3" max="3" width="9.265625" bestFit="1" customWidth="1"/>
    <col min="4" max="4" width="9.33203125" bestFit="1" customWidth="1"/>
    <col min="5" max="5" width="9.265625" bestFit="1" customWidth="1"/>
    <col min="6" max="6" width="9.33203125" bestFit="1" customWidth="1"/>
    <col min="7" max="12" width="9.33203125" customWidth="1"/>
    <col min="13" max="13" width="2.33203125" bestFit="1" customWidth="1"/>
    <col min="19" max="19" width="2.33203125" bestFit="1" customWidth="1"/>
  </cols>
  <sheetData>
    <row r="2" spans="2:13" x14ac:dyDescent="0.45">
      <c r="B2" s="1" t="s">
        <v>3</v>
      </c>
      <c r="C2" s="2" t="s">
        <v>5</v>
      </c>
      <c r="D2" s="2" t="s">
        <v>6</v>
      </c>
      <c r="E2" s="2" t="s">
        <v>4</v>
      </c>
      <c r="F2" s="2" t="s">
        <v>7</v>
      </c>
      <c r="G2" s="2" t="s">
        <v>11</v>
      </c>
      <c r="H2" s="2" t="s">
        <v>12</v>
      </c>
      <c r="I2" s="2" t="s">
        <v>15</v>
      </c>
      <c r="J2" s="2" t="s">
        <v>22</v>
      </c>
      <c r="K2" s="2" t="s">
        <v>27</v>
      </c>
      <c r="L2" s="2" t="s">
        <v>28</v>
      </c>
    </row>
    <row r="3" spans="2:13" x14ac:dyDescent="0.45">
      <c r="B3" s="1" t="s">
        <v>8</v>
      </c>
      <c r="C3" s="11">
        <v>46199</v>
      </c>
      <c r="D3" s="11">
        <v>46200</v>
      </c>
      <c r="E3" s="11">
        <v>46201</v>
      </c>
      <c r="F3" s="11">
        <v>46202</v>
      </c>
      <c r="G3" s="11">
        <v>46203</v>
      </c>
      <c r="H3" s="11">
        <v>46204</v>
      </c>
      <c r="I3" s="11">
        <v>46205</v>
      </c>
      <c r="J3" s="11">
        <v>46210</v>
      </c>
      <c r="K3" s="11">
        <v>46211</v>
      </c>
      <c r="L3" s="23">
        <v>46212</v>
      </c>
      <c r="M3" s="10"/>
    </row>
    <row r="4" spans="2:13" s="15" customFormat="1" ht="28.5" x14ac:dyDescent="0.45">
      <c r="B4" s="1" t="s">
        <v>13</v>
      </c>
      <c r="C4" s="12" t="s">
        <v>17</v>
      </c>
      <c r="D4" s="12"/>
      <c r="E4" s="13" t="s">
        <v>16</v>
      </c>
      <c r="F4" s="12" t="s">
        <v>14</v>
      </c>
      <c r="G4" s="12" t="s">
        <v>14</v>
      </c>
      <c r="H4" s="12" t="s">
        <v>14</v>
      </c>
      <c r="I4" s="13" t="s">
        <v>18</v>
      </c>
      <c r="J4" s="12" t="s">
        <v>14</v>
      </c>
      <c r="K4" s="12" t="s">
        <v>14</v>
      </c>
      <c r="L4" s="12" t="s">
        <v>14</v>
      </c>
      <c r="M4" s="14"/>
    </row>
    <row r="5" spans="2:13" x14ac:dyDescent="0.45">
      <c r="B5" s="1" t="s">
        <v>0</v>
      </c>
      <c r="C5" s="3">
        <v>8</v>
      </c>
      <c r="D5" s="3">
        <v>7</v>
      </c>
      <c r="E5" s="3">
        <v>4</v>
      </c>
      <c r="F5" s="3">
        <v>6</v>
      </c>
      <c r="G5" s="3">
        <v>3</v>
      </c>
      <c r="H5" s="3">
        <v>6</v>
      </c>
      <c r="I5" s="3">
        <v>4</v>
      </c>
      <c r="J5" s="3">
        <v>4</v>
      </c>
      <c r="K5" s="3">
        <v>4</v>
      </c>
      <c r="L5" s="3">
        <v>3</v>
      </c>
      <c r="M5" s="3"/>
    </row>
    <row r="6" spans="2:13" x14ac:dyDescent="0.45">
      <c r="B6" s="1" t="s">
        <v>25</v>
      </c>
      <c r="C6" s="3">
        <v>3</v>
      </c>
      <c r="D6" s="3">
        <v>0</v>
      </c>
      <c r="E6" s="3">
        <v>1</v>
      </c>
      <c r="F6" s="3">
        <v>0</v>
      </c>
      <c r="G6" s="3">
        <v>3</v>
      </c>
      <c r="H6" s="3">
        <v>1</v>
      </c>
      <c r="I6" s="3">
        <v>4</v>
      </c>
      <c r="J6" s="3">
        <v>0</v>
      </c>
      <c r="K6" s="3">
        <v>1</v>
      </c>
      <c r="L6" s="3">
        <v>2</v>
      </c>
      <c r="M6" s="3"/>
    </row>
    <row r="7" spans="2:13" x14ac:dyDescent="0.45">
      <c r="B7" s="1" t="s">
        <v>26</v>
      </c>
      <c r="C7" s="3">
        <v>1</v>
      </c>
      <c r="D7" s="3">
        <v>4</v>
      </c>
      <c r="E7" s="3">
        <v>0</v>
      </c>
      <c r="F7" s="3">
        <v>0</v>
      </c>
      <c r="G7" s="3">
        <v>0</v>
      </c>
      <c r="H7" s="3">
        <v>0</v>
      </c>
      <c r="I7" s="3">
        <v>1</v>
      </c>
      <c r="J7" s="3">
        <v>1</v>
      </c>
      <c r="K7" s="3">
        <v>0</v>
      </c>
      <c r="L7" s="3">
        <v>0</v>
      </c>
      <c r="M7" s="3"/>
    </row>
    <row r="8" spans="2:13" x14ac:dyDescent="0.45">
      <c r="B8" s="1" t="s">
        <v>1</v>
      </c>
      <c r="C8" s="3">
        <v>1</v>
      </c>
      <c r="D8" s="3">
        <v>1</v>
      </c>
      <c r="E8" s="3">
        <v>2</v>
      </c>
      <c r="F8" s="3">
        <v>0</v>
      </c>
      <c r="G8" s="3">
        <v>2</v>
      </c>
      <c r="H8" s="3">
        <v>0</v>
      </c>
      <c r="I8" s="3">
        <v>2</v>
      </c>
      <c r="J8" s="3">
        <v>1</v>
      </c>
      <c r="K8" s="3">
        <v>1</v>
      </c>
      <c r="L8" s="3">
        <v>2</v>
      </c>
      <c r="M8" s="3"/>
    </row>
    <row r="9" spans="2:13" x14ac:dyDescent="0.45">
      <c r="B9" s="1" t="s">
        <v>9</v>
      </c>
      <c r="C9" s="7">
        <f t="shared" ref="C9:L9" si="0">C8+C5</f>
        <v>9</v>
      </c>
      <c r="D9" s="7">
        <f t="shared" si="0"/>
        <v>8</v>
      </c>
      <c r="E9" s="7">
        <f t="shared" si="0"/>
        <v>6</v>
      </c>
      <c r="F9" s="7">
        <f t="shared" si="0"/>
        <v>6</v>
      </c>
      <c r="G9" s="7">
        <f t="shared" si="0"/>
        <v>5</v>
      </c>
      <c r="H9" s="7">
        <f t="shared" si="0"/>
        <v>6</v>
      </c>
      <c r="I9" s="7">
        <f t="shared" si="0"/>
        <v>6</v>
      </c>
      <c r="J9" s="7">
        <f t="shared" si="0"/>
        <v>5</v>
      </c>
      <c r="K9" s="7">
        <f t="shared" si="0"/>
        <v>5</v>
      </c>
      <c r="L9" s="7">
        <f t="shared" si="0"/>
        <v>5</v>
      </c>
      <c r="M9" s="3"/>
    </row>
    <row r="10" spans="2:13" x14ac:dyDescent="0.45">
      <c r="B10" s="1" t="s">
        <v>2</v>
      </c>
      <c r="C10" s="4">
        <v>192.4</v>
      </c>
      <c r="D10" s="4">
        <v>91.8</v>
      </c>
      <c r="E10" s="4">
        <v>70.8</v>
      </c>
      <c r="F10" s="4">
        <v>213.8</v>
      </c>
      <c r="G10" s="4">
        <v>148</v>
      </c>
      <c r="H10" s="4">
        <v>167.4</v>
      </c>
      <c r="I10" s="4">
        <v>44</v>
      </c>
      <c r="J10" s="4">
        <v>175.4</v>
      </c>
      <c r="K10" s="4">
        <v>43.4</v>
      </c>
      <c r="L10" s="4">
        <v>20</v>
      </c>
      <c r="M10" s="4"/>
    </row>
    <row r="11" spans="2:13" x14ac:dyDescent="0.45">
      <c r="B11" s="1" t="s">
        <v>19</v>
      </c>
      <c r="C11" s="5">
        <v>29</v>
      </c>
      <c r="D11" s="5">
        <v>18</v>
      </c>
      <c r="E11" s="5">
        <v>15</v>
      </c>
      <c r="F11" s="5">
        <v>77</v>
      </c>
      <c r="G11" s="5">
        <v>22</v>
      </c>
      <c r="H11" s="5">
        <v>223</v>
      </c>
      <c r="I11" s="5">
        <v>19</v>
      </c>
      <c r="J11" s="5">
        <v>32</v>
      </c>
      <c r="K11" s="5">
        <v>19</v>
      </c>
      <c r="L11" s="5">
        <v>16</v>
      </c>
      <c r="M11" s="5"/>
    </row>
    <row r="12" spans="2:13" x14ac:dyDescent="0.45">
      <c r="B12" s="1" t="s">
        <v>21</v>
      </c>
      <c r="C12" s="9">
        <v>12.054044964243332</v>
      </c>
      <c r="D12" s="9">
        <v>7.5630681604756154</v>
      </c>
      <c r="E12" s="9">
        <v>5.4497706373754848</v>
      </c>
      <c r="F12" s="9">
        <v>39.277219860881154</v>
      </c>
      <c r="G12" s="9">
        <v>9</v>
      </c>
      <c r="H12" s="9">
        <v>113.0013274258316</v>
      </c>
      <c r="I12" s="9">
        <v>7.1063352017759476</v>
      </c>
      <c r="J12" s="9">
        <v>13.049904214207857</v>
      </c>
      <c r="K12" s="9">
        <v>7.700649323271394</v>
      </c>
      <c r="L12" s="9">
        <v>6.4420493633625631</v>
      </c>
      <c r="M12" s="5"/>
    </row>
    <row r="13" spans="2:13" x14ac:dyDescent="0.45">
      <c r="B13" s="1" t="s">
        <v>10</v>
      </c>
      <c r="C13" s="5">
        <v>189</v>
      </c>
      <c r="D13" s="5">
        <v>65.400000000000006</v>
      </c>
      <c r="E13" s="5">
        <v>78</v>
      </c>
      <c r="F13" s="5">
        <v>59</v>
      </c>
      <c r="G13" s="5">
        <v>44</v>
      </c>
      <c r="H13" s="5">
        <f>AVERAGE(44, 43, 44, 44, 45)</f>
        <v>44</v>
      </c>
      <c r="I13" s="5">
        <v>55</v>
      </c>
      <c r="J13" s="5">
        <v>45</v>
      </c>
      <c r="K13" s="5">
        <v>45</v>
      </c>
      <c r="L13" s="24">
        <v>30</v>
      </c>
      <c r="M13" s="5"/>
    </row>
    <row r="14" spans="2:13" x14ac:dyDescent="0.45">
      <c r="B14" s="1" t="s">
        <v>20</v>
      </c>
      <c r="C14" s="9">
        <f t="shared" ref="C14:L14" si="1">C10-C13</f>
        <v>3.4000000000000057</v>
      </c>
      <c r="D14" s="9">
        <f t="shared" si="1"/>
        <v>26.399999999999991</v>
      </c>
      <c r="E14" s="9">
        <f t="shared" si="1"/>
        <v>-7.2000000000000028</v>
      </c>
      <c r="F14" s="9">
        <f t="shared" si="1"/>
        <v>154.80000000000001</v>
      </c>
      <c r="G14" s="9">
        <f t="shared" si="1"/>
        <v>104</v>
      </c>
      <c r="H14" s="9">
        <f t="shared" si="1"/>
        <v>123.4</v>
      </c>
      <c r="I14" s="9">
        <f t="shared" si="1"/>
        <v>-11</v>
      </c>
      <c r="J14" s="9">
        <f t="shared" si="1"/>
        <v>130.4</v>
      </c>
      <c r="K14" s="9">
        <f t="shared" si="1"/>
        <v>-1.6000000000000014</v>
      </c>
      <c r="L14" s="9">
        <f t="shared" si="1"/>
        <v>-10</v>
      </c>
      <c r="M14" s="5"/>
    </row>
    <row r="15" spans="2:13" x14ac:dyDescent="0.45">
      <c r="B15" s="16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5"/>
    </row>
    <row r="16" spans="2:13" x14ac:dyDescent="0.45">
      <c r="B16" s="22" t="s">
        <v>24</v>
      </c>
      <c r="C16" s="3"/>
      <c r="D16" s="2"/>
      <c r="E16" s="2"/>
      <c r="F16" s="2"/>
      <c r="G16" s="3">
        <v>533</v>
      </c>
      <c r="H16" s="3"/>
      <c r="I16" s="3"/>
      <c r="J16" s="2"/>
      <c r="K16" s="2">
        <v>515</v>
      </c>
      <c r="L16" s="2"/>
      <c r="M16" s="2"/>
    </row>
    <row r="17" spans="2:13" x14ac:dyDescent="0.45">
      <c r="B17" s="22"/>
      <c r="D17" s="2"/>
      <c r="E17" s="2">
        <v>442</v>
      </c>
      <c r="F17" s="2">
        <v>228</v>
      </c>
      <c r="G17" s="3">
        <v>498</v>
      </c>
      <c r="H17" s="3"/>
      <c r="I17" s="2">
        <v>196</v>
      </c>
      <c r="J17" s="2"/>
      <c r="K17" s="2">
        <v>522</v>
      </c>
      <c r="L17" s="2">
        <v>321</v>
      </c>
      <c r="M17" s="2"/>
    </row>
    <row r="18" spans="2:13" x14ac:dyDescent="0.45">
      <c r="B18" s="22"/>
      <c r="C18" s="3">
        <v>314</v>
      </c>
      <c r="D18" s="2"/>
      <c r="E18" s="2">
        <v>689</v>
      </c>
      <c r="F18" s="2">
        <v>78</v>
      </c>
      <c r="G18" s="3">
        <v>530</v>
      </c>
      <c r="H18" s="2">
        <v>421</v>
      </c>
      <c r="I18" s="2">
        <v>113</v>
      </c>
      <c r="J18" s="2">
        <v>345</v>
      </c>
      <c r="K18" s="2">
        <v>513</v>
      </c>
      <c r="L18" s="2">
        <v>232</v>
      </c>
      <c r="M18" s="2"/>
    </row>
    <row r="19" spans="2:13" x14ac:dyDescent="0.45">
      <c r="B19" s="22"/>
      <c r="C19" s="3">
        <v>359</v>
      </c>
      <c r="D19" s="2"/>
      <c r="E19" s="2">
        <v>479</v>
      </c>
      <c r="F19" s="2">
        <v>191</v>
      </c>
      <c r="G19" s="3">
        <v>138</v>
      </c>
      <c r="H19" s="2">
        <v>224</v>
      </c>
      <c r="I19" s="2">
        <v>138</v>
      </c>
      <c r="J19" s="2">
        <v>338</v>
      </c>
      <c r="K19" s="2">
        <v>542</v>
      </c>
      <c r="L19" s="2">
        <v>122</v>
      </c>
      <c r="M19" s="2"/>
    </row>
    <row r="20" spans="2:13" x14ac:dyDescent="0.45">
      <c r="B20" s="22"/>
      <c r="C20" s="3">
        <v>641</v>
      </c>
      <c r="D20" s="2"/>
      <c r="E20" s="2">
        <v>264</v>
      </c>
      <c r="F20" s="2">
        <v>178</v>
      </c>
      <c r="G20" s="3">
        <v>148</v>
      </c>
      <c r="H20" s="2">
        <v>809</v>
      </c>
      <c r="I20" s="2">
        <v>28</v>
      </c>
      <c r="J20" s="2">
        <v>212</v>
      </c>
      <c r="K20" s="2">
        <v>33</v>
      </c>
      <c r="L20" s="2">
        <v>43</v>
      </c>
    </row>
    <row r="21" spans="2:13" x14ac:dyDescent="0.45">
      <c r="B21" s="22"/>
      <c r="C21" s="3">
        <v>409</v>
      </c>
      <c r="D21" s="2">
        <v>395</v>
      </c>
      <c r="E21" s="2">
        <v>74</v>
      </c>
      <c r="F21" s="2">
        <v>201</v>
      </c>
      <c r="G21" s="3">
        <v>157</v>
      </c>
      <c r="H21" s="2">
        <v>129</v>
      </c>
      <c r="I21" s="2">
        <v>46</v>
      </c>
      <c r="J21" s="2">
        <v>153</v>
      </c>
      <c r="K21" s="2">
        <v>31</v>
      </c>
      <c r="L21" s="2">
        <v>19</v>
      </c>
    </row>
    <row r="22" spans="2:13" x14ac:dyDescent="0.45">
      <c r="B22" s="22"/>
      <c r="C22" s="3">
        <v>366</v>
      </c>
      <c r="D22" s="2">
        <v>33</v>
      </c>
      <c r="E22" s="2">
        <v>72</v>
      </c>
      <c r="F22" s="2">
        <v>193</v>
      </c>
      <c r="G22" s="3">
        <v>135</v>
      </c>
      <c r="H22" s="2">
        <v>39</v>
      </c>
      <c r="I22" s="2">
        <v>46</v>
      </c>
      <c r="J22" s="2">
        <v>184</v>
      </c>
      <c r="K22" s="2">
        <v>47</v>
      </c>
      <c r="L22" s="2">
        <v>22</v>
      </c>
    </row>
    <row r="23" spans="2:13" x14ac:dyDescent="0.45">
      <c r="B23" s="22"/>
      <c r="C23" s="3">
        <v>469</v>
      </c>
      <c r="D23" s="2">
        <v>38</v>
      </c>
      <c r="E23" s="2">
        <v>71</v>
      </c>
      <c r="F23" s="2">
        <v>257</v>
      </c>
      <c r="G23" s="3">
        <v>145</v>
      </c>
      <c r="H23" s="2">
        <v>49</v>
      </c>
      <c r="I23" s="2">
        <v>45</v>
      </c>
      <c r="J23" s="2">
        <v>176</v>
      </c>
      <c r="K23" s="2">
        <v>50</v>
      </c>
      <c r="L23" s="2">
        <v>14</v>
      </c>
      <c r="M23" s="2"/>
    </row>
    <row r="24" spans="2:13" x14ac:dyDescent="0.45">
      <c r="B24" s="22"/>
      <c r="C24" s="3">
        <v>173</v>
      </c>
      <c r="D24" s="2">
        <v>99</v>
      </c>
      <c r="E24" s="2">
        <v>62</v>
      </c>
      <c r="F24" s="2">
        <v>183</v>
      </c>
      <c r="G24" s="3">
        <v>147</v>
      </c>
      <c r="H24" s="2">
        <v>239</v>
      </c>
      <c r="I24" s="2">
        <v>32</v>
      </c>
      <c r="J24" s="2">
        <v>179</v>
      </c>
      <c r="K24" s="2">
        <v>41</v>
      </c>
      <c r="L24" s="2">
        <v>30</v>
      </c>
      <c r="M24" s="2"/>
    </row>
    <row r="25" spans="2:13" x14ac:dyDescent="0.45">
      <c r="B25" s="22"/>
      <c r="C25" s="3">
        <v>197</v>
      </c>
      <c r="D25" s="2">
        <v>87</v>
      </c>
      <c r="E25" s="2">
        <v>72</v>
      </c>
      <c r="F25" s="2">
        <v>256</v>
      </c>
      <c r="G25" s="3">
        <v>156</v>
      </c>
      <c r="H25" s="2">
        <v>248</v>
      </c>
      <c r="I25" s="2">
        <v>51</v>
      </c>
      <c r="J25" s="2">
        <v>185</v>
      </c>
      <c r="K25" s="2">
        <v>48</v>
      </c>
      <c r="L25" s="2">
        <v>15</v>
      </c>
      <c r="M25" s="2"/>
    </row>
    <row r="26" spans="2:13" x14ac:dyDescent="0.45">
      <c r="B26" s="22"/>
      <c r="C26" s="3">
        <v>171</v>
      </c>
      <c r="D26" s="2">
        <v>95</v>
      </c>
      <c r="E26" s="2">
        <v>77</v>
      </c>
      <c r="F26" s="2">
        <v>180</v>
      </c>
      <c r="G26" s="2"/>
      <c r="H26" s="2">
        <v>262</v>
      </c>
      <c r="I26" s="2">
        <v>46</v>
      </c>
      <c r="J26" s="2"/>
      <c r="K26" s="2"/>
      <c r="L26" s="2"/>
      <c r="M26" s="2"/>
    </row>
    <row r="27" spans="2:13" x14ac:dyDescent="0.45">
      <c r="B27" s="22"/>
      <c r="C27" s="3">
        <v>198</v>
      </c>
      <c r="D27" s="2">
        <v>81</v>
      </c>
      <c r="L27" s="2"/>
    </row>
    <row r="28" spans="2:13" x14ac:dyDescent="0.45">
      <c r="B28" s="22"/>
      <c r="C28" s="3">
        <v>196</v>
      </c>
      <c r="D28" s="2">
        <v>97</v>
      </c>
    </row>
    <row r="29" spans="2:13" x14ac:dyDescent="0.45">
      <c r="B29" s="22"/>
      <c r="C29" s="7">
        <v>200</v>
      </c>
      <c r="D29" s="6"/>
      <c r="E29" s="8"/>
      <c r="F29" s="8"/>
      <c r="G29" s="8"/>
      <c r="H29" s="8"/>
      <c r="I29" s="8"/>
      <c r="J29" s="8"/>
      <c r="K29" s="8"/>
      <c r="L29" s="8"/>
    </row>
    <row r="30" spans="2:13" x14ac:dyDescent="0.45">
      <c r="B30" s="18"/>
      <c r="C30" s="19"/>
      <c r="D30" s="20"/>
      <c r="E30" s="21"/>
      <c r="F30" s="21"/>
      <c r="G30" s="21"/>
      <c r="H30" s="21"/>
      <c r="I30" s="21"/>
      <c r="J30" s="21"/>
      <c r="K30" s="21"/>
      <c r="L30" s="21"/>
    </row>
    <row r="31" spans="2:13" x14ac:dyDescent="0.45">
      <c r="B31" s="22" t="s">
        <v>23</v>
      </c>
      <c r="J31" s="2"/>
      <c r="K31" s="2"/>
      <c r="L31" s="2"/>
      <c r="M31" s="2"/>
    </row>
    <row r="32" spans="2:13" x14ac:dyDescent="0.45">
      <c r="B32" s="22"/>
      <c r="J32" s="2"/>
      <c r="K32" s="2"/>
      <c r="L32" s="2"/>
      <c r="M32" s="5"/>
    </row>
    <row r="33" spans="2:12" x14ac:dyDescent="0.45">
      <c r="B33" s="22"/>
      <c r="J33" s="2"/>
      <c r="K33" s="2"/>
      <c r="L33" s="2"/>
    </row>
    <row r="34" spans="2:12" x14ac:dyDescent="0.45">
      <c r="B34" s="22"/>
      <c r="J34" s="2"/>
      <c r="K34" s="2"/>
      <c r="L34" s="2"/>
    </row>
    <row r="35" spans="2:12" x14ac:dyDescent="0.45">
      <c r="B35" s="22"/>
      <c r="J35" s="2"/>
      <c r="K35" s="2"/>
      <c r="L35" s="2"/>
    </row>
    <row r="36" spans="2:12" x14ac:dyDescent="0.45">
      <c r="B36" s="22"/>
      <c r="G36">
        <f>G21</f>
        <v>157</v>
      </c>
      <c r="J36" s="2">
        <f t="shared" ref="J36:K40" si="2">J21</f>
        <v>153</v>
      </c>
      <c r="K36" s="2">
        <f t="shared" si="2"/>
        <v>31</v>
      </c>
      <c r="L36" s="2">
        <f>L21</f>
        <v>19</v>
      </c>
    </row>
    <row r="37" spans="2:12" x14ac:dyDescent="0.45">
      <c r="B37" s="22"/>
      <c r="E37">
        <f t="shared" ref="E37:F41" si="3">E22</f>
        <v>72</v>
      </c>
      <c r="F37">
        <f t="shared" si="3"/>
        <v>193</v>
      </c>
      <c r="G37">
        <f>G22</f>
        <v>135</v>
      </c>
      <c r="H37">
        <f t="shared" ref="H37:I41" si="4">H22</f>
        <v>39</v>
      </c>
      <c r="I37">
        <f t="shared" si="4"/>
        <v>46</v>
      </c>
      <c r="J37" s="2">
        <f t="shared" si="2"/>
        <v>184</v>
      </c>
      <c r="K37" s="2">
        <f t="shared" si="2"/>
        <v>47</v>
      </c>
      <c r="L37" s="2">
        <f>L22</f>
        <v>22</v>
      </c>
    </row>
    <row r="38" spans="2:12" x14ac:dyDescent="0.45">
      <c r="B38" s="22"/>
      <c r="E38">
        <f t="shared" si="3"/>
        <v>71</v>
      </c>
      <c r="F38">
        <f t="shared" si="3"/>
        <v>257</v>
      </c>
      <c r="G38">
        <f>G23</f>
        <v>145</v>
      </c>
      <c r="H38">
        <f t="shared" si="4"/>
        <v>49</v>
      </c>
      <c r="I38">
        <f t="shared" si="4"/>
        <v>45</v>
      </c>
      <c r="J38" s="2">
        <f t="shared" si="2"/>
        <v>176</v>
      </c>
      <c r="K38" s="2">
        <f t="shared" si="2"/>
        <v>50</v>
      </c>
      <c r="L38" s="2">
        <f>L23</f>
        <v>14</v>
      </c>
    </row>
    <row r="39" spans="2:12" x14ac:dyDescent="0.45">
      <c r="B39" s="22"/>
      <c r="D39">
        <f>D24</f>
        <v>99</v>
      </c>
      <c r="E39">
        <f t="shared" si="3"/>
        <v>62</v>
      </c>
      <c r="F39">
        <f t="shared" si="3"/>
        <v>183</v>
      </c>
      <c r="G39">
        <f>G24</f>
        <v>147</v>
      </c>
      <c r="H39">
        <f t="shared" si="4"/>
        <v>239</v>
      </c>
      <c r="I39">
        <f t="shared" si="4"/>
        <v>32</v>
      </c>
      <c r="J39" s="2">
        <f t="shared" si="2"/>
        <v>179</v>
      </c>
      <c r="K39" s="2">
        <f t="shared" si="2"/>
        <v>41</v>
      </c>
      <c r="L39" s="2">
        <f>L24</f>
        <v>30</v>
      </c>
    </row>
    <row r="40" spans="2:12" x14ac:dyDescent="0.45">
      <c r="B40" s="22"/>
      <c r="C40">
        <f>C25</f>
        <v>197</v>
      </c>
      <c r="D40">
        <f>D25</f>
        <v>87</v>
      </c>
      <c r="E40">
        <f t="shared" si="3"/>
        <v>72</v>
      </c>
      <c r="F40">
        <f t="shared" si="3"/>
        <v>256</v>
      </c>
      <c r="G40">
        <f>G25</f>
        <v>156</v>
      </c>
      <c r="H40">
        <f t="shared" si="4"/>
        <v>248</v>
      </c>
      <c r="I40">
        <f t="shared" si="4"/>
        <v>51</v>
      </c>
      <c r="J40" s="2">
        <f t="shared" si="2"/>
        <v>185</v>
      </c>
      <c r="K40" s="2">
        <f t="shared" si="2"/>
        <v>48</v>
      </c>
      <c r="L40" s="2">
        <v>15</v>
      </c>
    </row>
    <row r="41" spans="2:12" x14ac:dyDescent="0.45">
      <c r="B41" s="22"/>
      <c r="C41">
        <f>C26</f>
        <v>171</v>
      </c>
      <c r="D41">
        <f>D26</f>
        <v>95</v>
      </c>
      <c r="E41">
        <f t="shared" si="3"/>
        <v>77</v>
      </c>
      <c r="F41">
        <f t="shared" si="3"/>
        <v>180</v>
      </c>
      <c r="H41">
        <f t="shared" si="4"/>
        <v>262</v>
      </c>
      <c r="I41">
        <f t="shared" si="4"/>
        <v>46</v>
      </c>
      <c r="K41" s="2"/>
      <c r="L41" s="2"/>
    </row>
    <row r="42" spans="2:12" x14ac:dyDescent="0.45">
      <c r="B42" s="22"/>
      <c r="C42">
        <f>C27</f>
        <v>198</v>
      </c>
      <c r="D42">
        <f>D27</f>
        <v>81</v>
      </c>
      <c r="K42" s="2"/>
      <c r="L42" s="2"/>
    </row>
    <row r="43" spans="2:12" x14ac:dyDescent="0.45">
      <c r="B43" s="22"/>
      <c r="C43">
        <f>C28</f>
        <v>196</v>
      </c>
      <c r="D43">
        <f>D28</f>
        <v>97</v>
      </c>
      <c r="K43" s="2"/>
      <c r="L43" s="2"/>
    </row>
    <row r="44" spans="2:12" x14ac:dyDescent="0.45">
      <c r="B44" s="22"/>
      <c r="C44" s="8">
        <f>C29</f>
        <v>200</v>
      </c>
      <c r="D44" s="8"/>
      <c r="E44" s="8"/>
      <c r="F44" s="8"/>
      <c r="G44" s="8"/>
      <c r="H44" s="8"/>
      <c r="I44" s="8"/>
      <c r="J44" s="8"/>
      <c r="K44" s="6"/>
      <c r="L44" s="6"/>
    </row>
  </sheetData>
  <mergeCells count="2">
    <mergeCell ref="B16:B29"/>
    <mergeCell ref="B31:B4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Jarret Morton</dc:creator>
  <cp:lastModifiedBy>Jarret Morton</cp:lastModifiedBy>
  <dcterms:created xsi:type="dcterms:W3CDTF">2026-06-30T04:18:30Z</dcterms:created>
  <dcterms:modified xsi:type="dcterms:W3CDTF">2026-07-10T07:25:04Z</dcterms:modified>
</cp:coreProperties>
</file>