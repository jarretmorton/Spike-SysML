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rret\Documents\GitHub\Spike-SysML\development\"/>
    </mc:Choice>
  </mc:AlternateContent>
  <xr:revisionPtr revIDLastSave="0" documentId="13_ncr:1_{4A8F30E5-4920-4703-9A41-6193FDC5E970}" xr6:coauthVersionLast="47" xr6:coauthVersionMax="47" xr10:uidLastSave="{00000000-0000-0000-0000-000000000000}"/>
  <bookViews>
    <workbookView xWindow="-98" yWindow="-98" windowWidth="21795" windowHeight="13875" xr2:uid="{67E81273-2DCB-4899-8B48-DD4215E033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" i="1" l="1"/>
  <c r="C15" i="1"/>
  <c r="D15" i="1"/>
  <c r="F30" i="1"/>
  <c r="F28" i="1"/>
  <c r="F15" i="1"/>
  <c r="F8" i="1"/>
  <c r="E8" i="1"/>
  <c r="D8" i="1"/>
  <c r="C8" i="1"/>
  <c r="E28" i="1"/>
  <c r="E30" i="1" s="1"/>
  <c r="D28" i="1"/>
  <c r="D30" i="1" s="1"/>
  <c r="C28" i="1"/>
  <c r="C30" i="1" s="1"/>
</calcChain>
</file>

<file path=xl/sharedStrings.xml><?xml version="1.0" encoding="utf-8"?>
<sst xmlns="http://schemas.openxmlformats.org/spreadsheetml/2006/main" count="26" uniqueCount="26">
  <si>
    <t>Cal Runs</t>
  </si>
  <si>
    <t>Interventions</t>
  </si>
  <si>
    <t>Impacts</t>
  </si>
  <si>
    <t>Verif Runs</t>
  </si>
  <si>
    <t>Op Min Dist</t>
  </si>
  <si>
    <t>Op Max Dist</t>
  </si>
  <si>
    <t>Op Avg Dist</t>
  </si>
  <si>
    <t>Max-Min</t>
  </si>
  <si>
    <t>Sdev</t>
  </si>
  <si>
    <t>Test</t>
  </si>
  <si>
    <t>5 SE</t>
  </si>
  <si>
    <t>4 SE</t>
  </si>
  <si>
    <t>4 Freestyle</t>
  </si>
  <si>
    <t>5 Freestyle</t>
  </si>
  <si>
    <t>Op Run 2</t>
  </si>
  <si>
    <t>Op Run 1</t>
  </si>
  <si>
    <t>Op Run 3</t>
  </si>
  <si>
    <t>Op Run 4</t>
  </si>
  <si>
    <t>Op Run 5</t>
  </si>
  <si>
    <t>Words</t>
  </si>
  <si>
    <t>Time (mins)</t>
  </si>
  <si>
    <t>Date</t>
  </si>
  <si>
    <t>Char Runs</t>
  </si>
  <si>
    <t>Words/min</t>
  </si>
  <si>
    <t>Predicted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</si>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</sst>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/>
    <xf numFmtId="0" fontId="0" fillId="0" borderId="1" xfId="0" applyBorder="1" applyAlignment="1">
      <alignment horizontal="center" vertical="center"/>
    </xf>
    <xf numFmtId="0" fontId="0" fillId="0" borderId="1" xfId="0" applyBorder="1"/>
    <xf numFmtId="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Sheet1!$B$16:$B$27</c:f>
              <c:strCache>
                <c:ptCount val="12"/>
                <c:pt idx="7">
                  <c:v>Op Run 1</c:v>
                </c:pt>
                <c:pt idx="8">
                  <c:v>Op Run 2</c:v>
                </c:pt>
                <c:pt idx="9">
                  <c:v>Op Run 3</c:v>
                </c:pt>
                <c:pt idx="10">
                  <c:v>Op Run 4</c:v>
                </c:pt>
                <c:pt idx="11">
                  <c:v>Op Run 5</c:v>
                </c:pt>
              </c:strCache>
            </c:strRef>
          </c:cat>
          <c:val>
            <c:numRef>
              <c:f>Sheet1!$D$16:$D$27</c:f>
              <c:numCache>
                <c:formatCode>0</c:formatCode>
                <c:ptCount val="12"/>
                <c:pt idx="4" formatCode="General">
                  <c:v>395</c:v>
                </c:pt>
                <c:pt idx="5" formatCode="General">
                  <c:v>33</c:v>
                </c:pt>
                <c:pt idx="6" formatCode="General">
                  <c:v>38</c:v>
                </c:pt>
                <c:pt idx="7" formatCode="General">
                  <c:v>99</c:v>
                </c:pt>
                <c:pt idx="8" formatCode="General">
                  <c:v>87</c:v>
                </c:pt>
                <c:pt idx="9" formatCode="General">
                  <c:v>95</c:v>
                </c:pt>
                <c:pt idx="10" formatCode="General">
                  <c:v>81</c:v>
                </c:pt>
                <c:pt idx="11" formatCode="General">
                  <c:v>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11-48B6-B1E1-5B8446750985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Sheet1!$F$16:$F$27</c:f>
              <c:numCache>
                <c:formatCode>General</c:formatCode>
                <c:ptCount val="12"/>
                <c:pt idx="2">
                  <c:v>228</c:v>
                </c:pt>
                <c:pt idx="3">
                  <c:v>78</c:v>
                </c:pt>
                <c:pt idx="4">
                  <c:v>191</c:v>
                </c:pt>
                <c:pt idx="5">
                  <c:v>178</c:v>
                </c:pt>
                <c:pt idx="6">
                  <c:v>201</c:v>
                </c:pt>
                <c:pt idx="7">
                  <c:v>193</c:v>
                </c:pt>
                <c:pt idx="8">
                  <c:v>257</c:v>
                </c:pt>
                <c:pt idx="9">
                  <c:v>183</c:v>
                </c:pt>
                <c:pt idx="10">
                  <c:v>256</c:v>
                </c:pt>
                <c:pt idx="11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A11-48B6-B1E1-5B8446750985}"/>
            </c:ext>
          </c:extLst>
        </c:ser>
        <c:ser>
          <c:idx val="0"/>
          <c:order val="2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Sheet1!$B$16:$B$27</c:f>
              <c:strCache>
                <c:ptCount val="12"/>
                <c:pt idx="7">
                  <c:v>Op Run 1</c:v>
                </c:pt>
                <c:pt idx="8">
                  <c:v>Op Run 2</c:v>
                </c:pt>
                <c:pt idx="9">
                  <c:v>Op Run 3</c:v>
                </c:pt>
                <c:pt idx="10">
                  <c:v>Op Run 4</c:v>
                </c:pt>
                <c:pt idx="11">
                  <c:v>Op Run 5</c:v>
                </c:pt>
              </c:strCache>
            </c:strRef>
          </c:cat>
          <c:val>
            <c:numRef>
              <c:f>Sheet1!$C$16:$C$27</c:f>
              <c:numCache>
                <c:formatCode>General</c:formatCode>
                <c:ptCount val="12"/>
                <c:pt idx="0">
                  <c:v>314</c:v>
                </c:pt>
                <c:pt idx="1">
                  <c:v>359</c:v>
                </c:pt>
                <c:pt idx="2">
                  <c:v>641</c:v>
                </c:pt>
                <c:pt idx="3">
                  <c:v>409</c:v>
                </c:pt>
                <c:pt idx="4">
                  <c:v>366</c:v>
                </c:pt>
                <c:pt idx="5">
                  <c:v>469</c:v>
                </c:pt>
                <c:pt idx="6">
                  <c:v>173</c:v>
                </c:pt>
                <c:pt idx="7">
                  <c:v>197</c:v>
                </c:pt>
                <c:pt idx="8">
                  <c:v>171</c:v>
                </c:pt>
                <c:pt idx="9">
                  <c:v>198</c:v>
                </c:pt>
                <c:pt idx="10">
                  <c:v>196</c:v>
                </c:pt>
                <c:pt idx="11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11-48B6-B1E1-5B8446750985}"/>
            </c:ext>
          </c:extLst>
        </c:ser>
        <c:ser>
          <c:idx val="2"/>
          <c:order val="3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Sheet1!$B$16:$B$27</c:f>
              <c:strCache>
                <c:ptCount val="12"/>
                <c:pt idx="7">
                  <c:v>Op Run 1</c:v>
                </c:pt>
                <c:pt idx="8">
                  <c:v>Op Run 2</c:v>
                </c:pt>
                <c:pt idx="9">
                  <c:v>Op Run 3</c:v>
                </c:pt>
                <c:pt idx="10">
                  <c:v>Op Run 4</c:v>
                </c:pt>
                <c:pt idx="11">
                  <c:v>Op Run 5</c:v>
                </c:pt>
              </c:strCache>
            </c:strRef>
          </c:cat>
          <c:val>
            <c:numRef>
              <c:f>Sheet1!$E$16:$E$27</c:f>
              <c:numCache>
                <c:formatCode>0</c:formatCode>
                <c:ptCount val="12"/>
                <c:pt idx="2" formatCode="General">
                  <c:v>442</c:v>
                </c:pt>
                <c:pt idx="3" formatCode="General">
                  <c:v>689</c:v>
                </c:pt>
                <c:pt idx="4" formatCode="General">
                  <c:v>479</c:v>
                </c:pt>
                <c:pt idx="5" formatCode="General">
                  <c:v>264</c:v>
                </c:pt>
                <c:pt idx="6" formatCode="General">
                  <c:v>74</c:v>
                </c:pt>
                <c:pt idx="7" formatCode="General">
                  <c:v>72</c:v>
                </c:pt>
                <c:pt idx="8" formatCode="General">
                  <c:v>71</c:v>
                </c:pt>
                <c:pt idx="9" formatCode="General">
                  <c:v>62</c:v>
                </c:pt>
                <c:pt idx="10" formatCode="General">
                  <c:v>72</c:v>
                </c:pt>
                <c:pt idx="11" formatCode="General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11-48B6-B1E1-5B8446750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0609439"/>
        <c:axId val="1430609919"/>
      </c:lineChart>
      <c:catAx>
        <c:axId val="143060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919"/>
        <c:crosses val="autoZero"/>
        <c:auto val="1"/>
        <c:lblAlgn val="ctr"/>
        <c:lblOffset val="100"/>
        <c:tickMarkSkip val="1"/>
        <c:noMultiLvlLbl val="0"/>
      </c:catAx>
      <c:valAx>
        <c:axId val="143060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</a:t>
                </a:r>
                <a:r>
                  <a:rPr lang="en-US" baseline="0"/>
                  <a:t> to wall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060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Sheet1!$B$5:$B$8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Sheet1!$D$5:$D$8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1A-4E47-A125-2957C3653DEA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Sheet1!$B$5:$B$8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Sheet1!$F$5:$F$8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31A-4E47-A125-2957C3653DEA}"/>
            </c:ext>
          </c:extLst>
        </c:ser>
        <c:ser>
          <c:idx val="0"/>
          <c:order val="2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Sheet1!$B$5:$B$8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Sheet1!$C$5:$C$8</c:f>
              <c:numCache>
                <c:formatCode>General</c:formatCode>
                <c:ptCount val="4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1A-4E47-A125-2957C3653DEA}"/>
            </c:ext>
          </c:extLst>
        </c:ser>
        <c:ser>
          <c:idx val="2"/>
          <c:order val="3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Sheet1!$B$5:$B$8</c:f>
              <c:strCache>
                <c:ptCount val="4"/>
                <c:pt idx="0">
                  <c:v>Interventions</c:v>
                </c:pt>
                <c:pt idx="1">
                  <c:v>Impacts</c:v>
                </c:pt>
                <c:pt idx="2">
                  <c:v>Verif Runs</c:v>
                </c:pt>
                <c:pt idx="3">
                  <c:v>Char Runs</c:v>
                </c:pt>
              </c:strCache>
            </c:strRef>
          </c:cat>
          <c:val>
            <c:numRef>
              <c:f>Sheet1!$E$5:$E$8</c:f>
              <c:numCache>
                <c:formatCode>General</c:formatCode>
                <c:ptCount val="4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31A-4E47-A125-2957C3653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Sheet1!$D$2</c:f>
              <c:strCache>
                <c:ptCount val="1"/>
                <c:pt idx="0">
                  <c:v>4 Freestyle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Sheet1!$B$9:$B$15</c15:sqref>
                  </c15:fullRef>
                </c:ext>
              </c:extLst>
              <c:f>(Sheet1!$B$11:$B$13,Sheet1!$B$15)</c:f>
              <c:strCache>
                <c:ptCount val="4"/>
                <c:pt idx="0">
                  <c:v>Op Avg Dist</c:v>
                </c:pt>
                <c:pt idx="1">
                  <c:v>Max-Min</c:v>
                </c:pt>
                <c:pt idx="2">
                  <c:v>Sdev</c:v>
                </c:pt>
                <c:pt idx="3">
                  <c:v>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Sheet1!$D$9:$D$15</c15:sqref>
                  </c15:fullRef>
                </c:ext>
              </c:extLst>
              <c:f>(Sheet1!$D$11:$D$13,Sheet1!$D$15)</c:f>
              <c:numCache>
                <c:formatCode>0</c:formatCode>
                <c:ptCount val="4"/>
                <c:pt idx="0">
                  <c:v>91.8</c:v>
                </c:pt>
                <c:pt idx="1">
                  <c:v>18</c:v>
                </c:pt>
                <c:pt idx="2">
                  <c:v>6.7646138101151054</c:v>
                </c:pt>
                <c:pt idx="3">
                  <c:v>26.399999999999991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83-4C49-A73A-06B1D29DCB9D}"/>
            </c:ext>
          </c:extLst>
        </c:ser>
        <c:ser>
          <c:idx val="3"/>
          <c:order val="1"/>
          <c:tx>
            <c:strRef>
              <c:f>Sheet1!$F$2</c:f>
              <c:strCache>
                <c:ptCount val="1"/>
                <c:pt idx="0">
                  <c:v>5 Freestyle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Sheet1!$B$9:$B$15</c15:sqref>
                  </c15:fullRef>
                </c:ext>
              </c:extLst>
              <c:f>(Sheet1!$B$11:$B$13,Sheet1!$B$15)</c:f>
              <c:strCache>
                <c:ptCount val="4"/>
                <c:pt idx="0">
                  <c:v>Op Avg Dist</c:v>
                </c:pt>
                <c:pt idx="1">
                  <c:v>Max-Min</c:v>
                </c:pt>
                <c:pt idx="2">
                  <c:v>Sdev</c:v>
                </c:pt>
                <c:pt idx="3">
                  <c:v>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Sheet1!$F$9:$F$15</c15:sqref>
                  </c15:fullRef>
                </c:ext>
              </c:extLst>
              <c:f>(Sheet1!$F$11:$F$13,Sheet1!$F$15)</c:f>
              <c:numCache>
                <c:formatCode>0</c:formatCode>
                <c:ptCount val="4"/>
                <c:pt idx="0">
                  <c:v>213.8</c:v>
                </c:pt>
                <c:pt idx="1">
                  <c:v>77</c:v>
                </c:pt>
                <c:pt idx="2">
                  <c:v>35.130613430454076</c:v>
                </c:pt>
                <c:pt idx="3">
                  <c:v>158.80000000000001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83-4C49-A73A-06B1D29DCB9D}"/>
            </c:ext>
          </c:extLst>
        </c:ser>
        <c:ser>
          <c:idx val="0"/>
          <c:order val="2"/>
          <c:tx>
            <c:strRef>
              <c:f>Sheet1!$C$2</c:f>
              <c:strCache>
                <c:ptCount val="1"/>
                <c:pt idx="0">
                  <c:v>4 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Sheet1!$B$9:$B$15</c15:sqref>
                  </c15:fullRef>
                </c:ext>
              </c:extLst>
              <c:f>(Sheet1!$B$11:$B$13,Sheet1!$B$15)</c:f>
              <c:strCache>
                <c:ptCount val="4"/>
                <c:pt idx="0">
                  <c:v>Op Avg Dist</c:v>
                </c:pt>
                <c:pt idx="1">
                  <c:v>Max-Min</c:v>
                </c:pt>
                <c:pt idx="2">
                  <c:v>Sdev</c:v>
                </c:pt>
                <c:pt idx="3">
                  <c:v>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Sheet1!$C$9:$C$15</c15:sqref>
                  </c15:fullRef>
                </c:ext>
              </c:extLst>
              <c:f>(Sheet1!$C$11:$C$13,Sheet1!$C$15)</c:f>
              <c:numCache>
                <c:formatCode>0</c:formatCode>
                <c:ptCount val="4"/>
                <c:pt idx="0">
                  <c:v>192.4</c:v>
                </c:pt>
                <c:pt idx="1">
                  <c:v>29</c:v>
                </c:pt>
                <c:pt idx="2">
                  <c:v>10.781465577554844</c:v>
                </c:pt>
                <c:pt idx="3">
                  <c:v>3.4000000000000057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83-4C49-A73A-06B1D29DCB9D}"/>
            </c:ext>
          </c:extLst>
        </c:ser>
        <c:ser>
          <c:idx val="2"/>
          <c:order val="3"/>
          <c:tx>
            <c:strRef>
              <c:f>Sheet1!$E$2</c:f>
              <c:strCache>
                <c:ptCount val="1"/>
                <c:pt idx="0">
                  <c:v>5 SE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Sheet1!$B$9:$B$15</c15:sqref>
                  </c15:fullRef>
                </c:ext>
              </c:extLst>
              <c:f>(Sheet1!$B$11:$B$13,Sheet1!$B$15)</c:f>
              <c:strCache>
                <c:ptCount val="4"/>
                <c:pt idx="0">
                  <c:v>Op Avg Dist</c:v>
                </c:pt>
                <c:pt idx="1">
                  <c:v>Max-Min</c:v>
                </c:pt>
                <c:pt idx="2">
                  <c:v>Sdev</c:v>
                </c:pt>
                <c:pt idx="3">
                  <c:v>Error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Sheet1!$E$9:$E$15</c15:sqref>
                  </c15:fullRef>
                </c:ext>
              </c:extLst>
              <c:f>(Sheet1!$E$11:$E$13,Sheet1!$E$15)</c:f>
              <c:numCache>
                <c:formatCode>0</c:formatCode>
                <c:ptCount val="4"/>
                <c:pt idx="0">
                  <c:v>70.8</c:v>
                </c:pt>
                <c:pt idx="1">
                  <c:v>15</c:v>
                </c:pt>
                <c:pt idx="2">
                  <c:v>4.8744230427815767</c:v>
                </c:pt>
                <c:pt idx="3">
                  <c:v>-7.2000000000000028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83-4C49-A73A-06B1D29DCB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320239"/>
        <c:axId val="83323119"/>
      </c:barChart>
      <c:catAx>
        <c:axId val="8332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3119"/>
        <c:crosses val="autoZero"/>
        <c:auto val="1"/>
        <c:lblAlgn val="ctr"/>
        <c:lblOffset val="100"/>
        <c:noMultiLvlLbl val="0"/>
      </c:catAx>
      <c:valAx>
        <c:axId val="8332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32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486276</xdr:colOff>
      <xdr:row>1</xdr:row>
      <xdr:rowOff>75635</xdr:rowOff>
    </xdr:from>
    <xdr:to>
      <xdr:col>23</xdr:col>
      <xdr:colOff>123206</xdr:colOff>
      <xdr:row>26</xdr:row>
      <xdr:rowOff>166234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F885CD-BFFF-F0D2-E3D5-13DB673A43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311687</xdr:colOff>
      <xdr:row>1</xdr:row>
      <xdr:rowOff>54909</xdr:rowOff>
    </xdr:from>
    <xdr:to>
      <xdr:col>13</xdr:col>
      <xdr:colOff>366428</xdr:colOff>
      <xdr:row>14</xdr:row>
      <xdr:rowOff>16753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16FD840-7DC9-A323-C601-D3C1664B55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253361</xdr:colOff>
      <xdr:row>16</xdr:row>
      <xdr:rowOff>145786</xdr:rowOff>
    </xdr:from>
    <xdr:to>
      <xdr:col>13</xdr:col>
      <xdr:colOff>305245</xdr:colOff>
      <xdr:row>29</xdr:row>
      <xdr:rowOff>101916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F4C806B-8AF9-498A-9CF9-59D8E5CB17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483D-A2EB-4AB5-93A8-361DFBAB7337}">
  <dimension ref="B2:F30"/>
  <sheetViews>
    <sheetView tabSelected="1" zoomScale="85" zoomScaleNormal="85" workbookViewId="0">
      <selection activeCell="U32" sqref="U32"/>
    </sheetView>
  </sheetViews>
  <sheetFormatPr defaultRowHeight="14.25" x14ac:dyDescent="0.45"/>
  <cols>
    <col min="1" max="1" width="2.3984375" customWidth="1"/>
    <col min="2" max="2" width="11.59765625" bestFit="1" customWidth="1"/>
    <col min="3" max="3" width="9.265625" bestFit="1" customWidth="1"/>
    <col min="4" max="4" width="9.33203125" bestFit="1" customWidth="1"/>
    <col min="5" max="5" width="9.265625" bestFit="1" customWidth="1"/>
    <col min="6" max="6" width="9.33203125" bestFit="1" customWidth="1"/>
  </cols>
  <sheetData>
    <row r="2" spans="2:6" x14ac:dyDescent="0.45">
      <c r="B2" s="1" t="s">
        <v>9</v>
      </c>
      <c r="C2" t="s">
        <v>11</v>
      </c>
      <c r="D2" t="s">
        <v>12</v>
      </c>
      <c r="E2" t="s">
        <v>10</v>
      </c>
      <c r="F2" t="s">
        <v>13</v>
      </c>
    </row>
    <row r="3" spans="2:6" x14ac:dyDescent="0.45">
      <c r="B3" s="1" t="s">
        <v>21</v>
      </c>
      <c r="C3" s="7">
        <v>46199</v>
      </c>
      <c r="D3" s="7">
        <v>46200</v>
      </c>
      <c r="E3" s="7">
        <v>46201</v>
      </c>
      <c r="F3" s="7">
        <v>46202</v>
      </c>
    </row>
    <row r="4" spans="2:6" x14ac:dyDescent="0.45">
      <c r="B4" s="1" t="s">
        <v>0</v>
      </c>
      <c r="C4" s="3">
        <v>8</v>
      </c>
      <c r="D4" s="3">
        <v>8</v>
      </c>
      <c r="E4" s="3">
        <v>4</v>
      </c>
      <c r="F4" s="3">
        <v>6</v>
      </c>
    </row>
    <row r="5" spans="2:6" x14ac:dyDescent="0.45">
      <c r="B5" s="1" t="s">
        <v>1</v>
      </c>
      <c r="C5" s="3">
        <v>2</v>
      </c>
      <c r="D5" s="3">
        <v>0</v>
      </c>
      <c r="E5" s="3">
        <v>1</v>
      </c>
      <c r="F5" s="3">
        <v>0</v>
      </c>
    </row>
    <row r="6" spans="2:6" x14ac:dyDescent="0.45">
      <c r="B6" s="1" t="s">
        <v>2</v>
      </c>
      <c r="C6" s="3">
        <v>1</v>
      </c>
      <c r="D6" s="3">
        <v>4</v>
      </c>
      <c r="E6" s="3">
        <v>0</v>
      </c>
      <c r="F6" s="3">
        <v>0</v>
      </c>
    </row>
    <row r="7" spans="2:6" x14ac:dyDescent="0.45">
      <c r="B7" s="1" t="s">
        <v>3</v>
      </c>
      <c r="C7" s="3">
        <v>1</v>
      </c>
      <c r="D7" s="3">
        <v>0</v>
      </c>
      <c r="E7" s="3">
        <v>2</v>
      </c>
      <c r="F7" s="3">
        <v>0</v>
      </c>
    </row>
    <row r="8" spans="2:6" x14ac:dyDescent="0.45">
      <c r="B8" s="1" t="s">
        <v>22</v>
      </c>
      <c r="C8" s="8">
        <f>C7+C4</f>
        <v>9</v>
      </c>
      <c r="D8" s="8">
        <f>D7+D4</f>
        <v>8</v>
      </c>
      <c r="E8" s="8">
        <f>E7+E4</f>
        <v>6</v>
      </c>
      <c r="F8" s="8">
        <f>F7+F4</f>
        <v>6</v>
      </c>
    </row>
    <row r="9" spans="2:6" x14ac:dyDescent="0.45">
      <c r="B9" s="1" t="s">
        <v>4</v>
      </c>
      <c r="C9" s="4">
        <v>171</v>
      </c>
      <c r="D9" s="4">
        <v>81</v>
      </c>
      <c r="E9" s="4">
        <v>62</v>
      </c>
      <c r="F9" s="4">
        <v>180</v>
      </c>
    </row>
    <row r="10" spans="2:6" x14ac:dyDescent="0.45">
      <c r="B10" s="1" t="s">
        <v>5</v>
      </c>
      <c r="C10" s="4">
        <v>200</v>
      </c>
      <c r="D10" s="4">
        <v>99</v>
      </c>
      <c r="E10" s="4">
        <v>77</v>
      </c>
      <c r="F10" s="4">
        <v>257</v>
      </c>
    </row>
    <row r="11" spans="2:6" x14ac:dyDescent="0.45">
      <c r="B11" s="1" t="s">
        <v>6</v>
      </c>
      <c r="C11" s="4">
        <v>192.4</v>
      </c>
      <c r="D11" s="4">
        <v>91.8</v>
      </c>
      <c r="E11" s="4">
        <v>70.8</v>
      </c>
      <c r="F11" s="4">
        <v>213.8</v>
      </c>
    </row>
    <row r="12" spans="2:6" x14ac:dyDescent="0.45">
      <c r="B12" s="1" t="s">
        <v>7</v>
      </c>
      <c r="C12" s="5">
        <v>29</v>
      </c>
      <c r="D12" s="5">
        <v>18</v>
      </c>
      <c r="E12" s="5">
        <v>15</v>
      </c>
      <c r="F12" s="5">
        <v>77</v>
      </c>
    </row>
    <row r="13" spans="2:6" x14ac:dyDescent="0.45">
      <c r="B13" s="1" t="s">
        <v>8</v>
      </c>
      <c r="C13" s="10">
        <v>10.781465577554844</v>
      </c>
      <c r="D13" s="10">
        <v>6.7646138101151054</v>
      </c>
      <c r="E13" s="10">
        <v>4.8744230427815767</v>
      </c>
      <c r="F13" s="10">
        <v>35.130613430454076</v>
      </c>
    </row>
    <row r="14" spans="2:6" x14ac:dyDescent="0.45">
      <c r="B14" s="1" t="s">
        <v>24</v>
      </c>
      <c r="C14" s="5">
        <v>189</v>
      </c>
      <c r="D14" s="5">
        <v>65.400000000000006</v>
      </c>
      <c r="E14" s="5">
        <v>78</v>
      </c>
      <c r="F14" s="5">
        <v>55</v>
      </c>
    </row>
    <row r="15" spans="2:6" x14ac:dyDescent="0.45">
      <c r="B15" s="1" t="s">
        <v>25</v>
      </c>
      <c r="C15" s="10">
        <f>C11-C14</f>
        <v>3.4000000000000057</v>
      </c>
      <c r="D15" s="10">
        <f>D11-D14</f>
        <v>26.399999999999991</v>
      </c>
      <c r="E15" s="10">
        <f>E11-E14</f>
        <v>-7.2000000000000028</v>
      </c>
      <c r="F15" s="10">
        <f>F11-F14</f>
        <v>158.80000000000001</v>
      </c>
    </row>
    <row r="16" spans="2:6" x14ac:dyDescent="0.45">
      <c r="B16" s="1"/>
      <c r="C16" s="2">
        <v>314</v>
      </c>
      <c r="D16" s="5"/>
      <c r="E16" s="5"/>
      <c r="F16" s="2"/>
    </row>
    <row r="17" spans="2:6" x14ac:dyDescent="0.45">
      <c r="B17" s="1"/>
      <c r="C17" s="2">
        <v>359</v>
      </c>
      <c r="D17" s="5"/>
      <c r="E17" s="5"/>
      <c r="F17" s="2"/>
    </row>
    <row r="18" spans="2:6" x14ac:dyDescent="0.45">
      <c r="B18" s="1"/>
      <c r="C18" s="2">
        <v>641</v>
      </c>
      <c r="E18" s="2">
        <v>442</v>
      </c>
      <c r="F18" s="2">
        <v>228</v>
      </c>
    </row>
    <row r="19" spans="2:6" x14ac:dyDescent="0.45">
      <c r="B19" s="1"/>
      <c r="C19" s="2">
        <v>409</v>
      </c>
      <c r="D19" s="2"/>
      <c r="E19" s="2">
        <v>689</v>
      </c>
      <c r="F19" s="2">
        <v>78</v>
      </c>
    </row>
    <row r="20" spans="2:6" x14ac:dyDescent="0.45">
      <c r="B20" s="1"/>
      <c r="C20" s="2">
        <v>366</v>
      </c>
      <c r="D20" s="2">
        <v>395</v>
      </c>
      <c r="E20" s="2">
        <v>479</v>
      </c>
      <c r="F20" s="2">
        <v>191</v>
      </c>
    </row>
    <row r="21" spans="2:6" x14ac:dyDescent="0.45">
      <c r="B21" s="1"/>
      <c r="C21" s="2">
        <v>469</v>
      </c>
      <c r="D21" s="2">
        <v>33</v>
      </c>
      <c r="E21" s="2">
        <v>264</v>
      </c>
      <c r="F21" s="2">
        <v>178</v>
      </c>
    </row>
    <row r="22" spans="2:6" x14ac:dyDescent="0.45">
      <c r="B22" s="1"/>
      <c r="C22" s="2">
        <v>173</v>
      </c>
      <c r="D22" s="2">
        <v>38</v>
      </c>
      <c r="E22" s="2">
        <v>74</v>
      </c>
      <c r="F22" s="2">
        <v>201</v>
      </c>
    </row>
    <row r="23" spans="2:6" x14ac:dyDescent="0.45">
      <c r="B23" s="1" t="s">
        <v>15</v>
      </c>
      <c r="C23" s="2">
        <v>197</v>
      </c>
      <c r="D23" s="2">
        <v>99</v>
      </c>
      <c r="E23" s="2">
        <v>72</v>
      </c>
      <c r="F23" s="2">
        <v>193</v>
      </c>
    </row>
    <row r="24" spans="2:6" x14ac:dyDescent="0.45">
      <c r="B24" s="1" t="s">
        <v>14</v>
      </c>
      <c r="C24" s="2">
        <v>171</v>
      </c>
      <c r="D24" s="2">
        <v>87</v>
      </c>
      <c r="E24" s="2">
        <v>71</v>
      </c>
      <c r="F24" s="2">
        <v>257</v>
      </c>
    </row>
    <row r="25" spans="2:6" x14ac:dyDescent="0.45">
      <c r="B25" s="1" t="s">
        <v>16</v>
      </c>
      <c r="C25" s="2">
        <v>198</v>
      </c>
      <c r="D25" s="2">
        <v>95</v>
      </c>
      <c r="E25" s="2">
        <v>62</v>
      </c>
      <c r="F25" s="2">
        <v>183</v>
      </c>
    </row>
    <row r="26" spans="2:6" x14ac:dyDescent="0.45">
      <c r="B26" s="1" t="s">
        <v>17</v>
      </c>
      <c r="C26" s="2">
        <v>196</v>
      </c>
      <c r="D26" s="2">
        <v>81</v>
      </c>
      <c r="E26" s="2">
        <v>72</v>
      </c>
      <c r="F26" s="2">
        <v>256</v>
      </c>
    </row>
    <row r="27" spans="2:6" x14ac:dyDescent="0.45">
      <c r="B27" s="1" t="s">
        <v>18</v>
      </c>
      <c r="C27" s="6">
        <v>200</v>
      </c>
      <c r="D27" s="6">
        <v>97</v>
      </c>
      <c r="E27" s="6">
        <v>77</v>
      </c>
      <c r="F27" s="9">
        <v>180</v>
      </c>
    </row>
    <row r="28" spans="2:6" x14ac:dyDescent="0.45">
      <c r="B28" s="1" t="s">
        <v>20</v>
      </c>
      <c r="C28" s="2">
        <f>3*60+5</f>
        <v>185</v>
      </c>
      <c r="D28" s="3">
        <f>(57+52)</f>
        <v>109</v>
      </c>
      <c r="E28" s="3">
        <f>2*60+12</f>
        <v>132</v>
      </c>
      <c r="F28" s="2">
        <f>26+60+(47-14)</f>
        <v>119</v>
      </c>
    </row>
    <row r="29" spans="2:6" x14ac:dyDescent="0.45">
      <c r="B29" s="1" t="s">
        <v>19</v>
      </c>
      <c r="C29" s="2">
        <v>72971</v>
      </c>
      <c r="D29" s="3">
        <v>67098</v>
      </c>
      <c r="E29" s="3">
        <v>61254</v>
      </c>
      <c r="F29" s="2">
        <v>56245</v>
      </c>
    </row>
    <row r="30" spans="2:6" x14ac:dyDescent="0.45">
      <c r="B30" s="1" t="s">
        <v>23</v>
      </c>
      <c r="C30" s="5">
        <f>C29/C28</f>
        <v>394.43783783783783</v>
      </c>
      <c r="D30" s="5">
        <f>D29/D28</f>
        <v>615.57798165137615</v>
      </c>
      <c r="E30" s="5">
        <f>E29/E28</f>
        <v>464.04545454545456</v>
      </c>
      <c r="F30" s="5">
        <f>F29/F28</f>
        <v>472.64705882352939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Jarret Morton</dc:creator>
  <cp:lastModifiedBy>Jarret Morton</cp:lastModifiedBy>
  <dcterms:created xsi:type="dcterms:W3CDTF">2026-06-30T04:18:30Z</dcterms:created>
  <dcterms:modified xsi:type="dcterms:W3CDTF">2026-06-30T06:17:22Z</dcterms:modified>
</cp:coreProperties>
</file>