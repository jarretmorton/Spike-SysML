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11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15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20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21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22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25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26.xml" ContentType="application/vnd.openxmlformats-officedocument.drawingml.chart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rret\Documents\GitHub\Spike-SysML\development\"/>
    </mc:Choice>
  </mc:AlternateContent>
  <xr:revisionPtr revIDLastSave="0" documentId="13_ncr:1_{5FAEA187-32EA-4419-8440-EDA639CED914}" xr6:coauthVersionLast="47" xr6:coauthVersionMax="47" xr10:uidLastSave="{00000000-0000-0000-0000-000000000000}"/>
  <bookViews>
    <workbookView xWindow="-98" yWindow="-98" windowWidth="21795" windowHeight="13875" activeTab="1" xr2:uid="{67E81273-2DCB-4899-8B48-DD4215E033B8}"/>
  </bookViews>
  <sheets>
    <sheet name="Opus 4.8" sheetId="1" r:id="rId1"/>
    <sheet name="Mix Models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69" i="3" l="1"/>
  <c r="C68" i="3"/>
  <c r="C67" i="3"/>
  <c r="C66" i="3"/>
  <c r="Y50" i="3"/>
  <c r="X50" i="3"/>
  <c r="R57" i="3" s="1"/>
  <c r="W50" i="3"/>
  <c r="V50" i="3"/>
  <c r="U50" i="3"/>
  <c r="T50" i="3"/>
  <c r="S50" i="3"/>
  <c r="R50" i="3"/>
  <c r="M50" i="3"/>
  <c r="L50" i="3"/>
  <c r="K50" i="3"/>
  <c r="J50" i="3"/>
  <c r="I50" i="3"/>
  <c r="H50" i="3"/>
  <c r="F50" i="3"/>
  <c r="D50" i="3"/>
  <c r="S54" i="3"/>
  <c r="S53" i="3"/>
  <c r="D56" i="3"/>
  <c r="D54" i="3"/>
  <c r="D53" i="3"/>
  <c r="I56" i="3"/>
  <c r="I54" i="3"/>
  <c r="I53" i="3"/>
  <c r="O15" i="3"/>
  <c r="S57" i="3" l="1"/>
  <c r="I57" i="3"/>
  <c r="D57" i="3"/>
  <c r="X36" i="3"/>
  <c r="X37" i="3"/>
  <c r="X38" i="3"/>
  <c r="X39" i="3"/>
  <c r="X40" i="3"/>
  <c r="X49" i="3" l="1"/>
  <c r="V15" i="3"/>
  <c r="W35" i="3"/>
  <c r="W36" i="3"/>
  <c r="W37" i="3"/>
  <c r="V43" i="3"/>
  <c r="V42" i="3"/>
  <c r="Y41" i="3"/>
  <c r="V41" i="3"/>
  <c r="Y40" i="3"/>
  <c r="V40" i="3"/>
  <c r="Y39" i="3"/>
  <c r="W39" i="3"/>
  <c r="V39" i="3"/>
  <c r="Y38" i="3"/>
  <c r="W38" i="3"/>
  <c r="Y37" i="3"/>
  <c r="Y15" i="3"/>
  <c r="X15" i="3"/>
  <c r="W15" i="3"/>
  <c r="Y10" i="3"/>
  <c r="X10" i="3"/>
  <c r="W10" i="3"/>
  <c r="V10" i="3"/>
  <c r="U36" i="3"/>
  <c r="U37" i="3"/>
  <c r="U38" i="3"/>
  <c r="U39" i="3"/>
  <c r="U40" i="3"/>
  <c r="U15" i="3"/>
  <c r="U10" i="3"/>
  <c r="T41" i="3"/>
  <c r="T42" i="3"/>
  <c r="T43" i="3"/>
  <c r="T40" i="3"/>
  <c r="T39" i="3"/>
  <c r="T15" i="3"/>
  <c r="T10" i="3"/>
  <c r="N39" i="3"/>
  <c r="O39" i="3"/>
  <c r="P39" i="3"/>
  <c r="R39" i="3"/>
  <c r="S39" i="3"/>
  <c r="N40" i="3"/>
  <c r="O40" i="3"/>
  <c r="P40" i="3"/>
  <c r="Q40" i="3"/>
  <c r="R40" i="3"/>
  <c r="S40" i="3"/>
  <c r="O41" i="3"/>
  <c r="P41" i="3"/>
  <c r="Q41" i="3"/>
  <c r="R41" i="3"/>
  <c r="O42" i="3"/>
  <c r="Q42" i="3"/>
  <c r="O43" i="3"/>
  <c r="Q43" i="3"/>
  <c r="Q44" i="3"/>
  <c r="N36" i="3"/>
  <c r="S36" i="3"/>
  <c r="S49" i="3" s="1"/>
  <c r="N37" i="3"/>
  <c r="P37" i="3"/>
  <c r="R37" i="3"/>
  <c r="S37" i="3"/>
  <c r="N38" i="3"/>
  <c r="P38" i="3"/>
  <c r="R38" i="3"/>
  <c r="S38" i="3"/>
  <c r="O10" i="3"/>
  <c r="S15" i="3"/>
  <c r="S10" i="3"/>
  <c r="R15" i="3"/>
  <c r="R10" i="3"/>
  <c r="Q15" i="3"/>
  <c r="Q10" i="3"/>
  <c r="P15" i="3"/>
  <c r="P10" i="3"/>
  <c r="N15" i="3"/>
  <c r="N10" i="3"/>
  <c r="C45" i="3"/>
  <c r="D44" i="3"/>
  <c r="C44" i="3"/>
  <c r="D43" i="3"/>
  <c r="C43" i="3"/>
  <c r="M42" i="3"/>
  <c r="I42" i="3"/>
  <c r="H42" i="3"/>
  <c r="F42" i="3"/>
  <c r="E42" i="3"/>
  <c r="D42" i="3"/>
  <c r="C42" i="3"/>
  <c r="M41" i="3"/>
  <c r="L41" i="3"/>
  <c r="K41" i="3"/>
  <c r="J41" i="3"/>
  <c r="I41" i="3"/>
  <c r="H41" i="3"/>
  <c r="G41" i="3"/>
  <c r="F41" i="3"/>
  <c r="E41" i="3"/>
  <c r="D41" i="3"/>
  <c r="C41" i="3"/>
  <c r="M40" i="3"/>
  <c r="L40" i="3"/>
  <c r="K40" i="3"/>
  <c r="J40" i="3"/>
  <c r="I40" i="3"/>
  <c r="H40" i="3"/>
  <c r="G40" i="3"/>
  <c r="F40" i="3"/>
  <c r="E40" i="3"/>
  <c r="D40" i="3"/>
  <c r="M39" i="3"/>
  <c r="L39" i="3"/>
  <c r="K39" i="3"/>
  <c r="J39" i="3"/>
  <c r="I39" i="3"/>
  <c r="H39" i="3"/>
  <c r="G39" i="3"/>
  <c r="F39" i="3"/>
  <c r="E39" i="3"/>
  <c r="M38" i="3"/>
  <c r="L38" i="3"/>
  <c r="K38" i="3"/>
  <c r="J38" i="3"/>
  <c r="I38" i="3"/>
  <c r="H38" i="3"/>
  <c r="G38" i="3"/>
  <c r="F38" i="3"/>
  <c r="E38" i="3"/>
  <c r="L37" i="3"/>
  <c r="K37" i="3"/>
  <c r="K49" i="3" s="1"/>
  <c r="J37" i="3"/>
  <c r="G37" i="3"/>
  <c r="M15" i="3"/>
  <c r="L15" i="3"/>
  <c r="K15" i="3"/>
  <c r="J15" i="3"/>
  <c r="I15" i="3"/>
  <c r="G15" i="3"/>
  <c r="F15" i="3"/>
  <c r="E15" i="3"/>
  <c r="D15" i="3"/>
  <c r="C15" i="3"/>
  <c r="H15" i="3"/>
  <c r="M10" i="3"/>
  <c r="L10" i="3"/>
  <c r="K10" i="3"/>
  <c r="J10" i="3"/>
  <c r="I10" i="3"/>
  <c r="H10" i="3"/>
  <c r="G10" i="3"/>
  <c r="F10" i="3"/>
  <c r="E10" i="3"/>
  <c r="D10" i="3"/>
  <c r="C10" i="3"/>
  <c r="L40" i="1"/>
  <c r="M41" i="1"/>
  <c r="M14" i="1"/>
  <c r="M40" i="1"/>
  <c r="M9" i="1"/>
  <c r="M39" i="1"/>
  <c r="M38" i="1"/>
  <c r="M37" i="1"/>
  <c r="D49" i="3" l="1"/>
  <c r="D47" i="3"/>
  <c r="L49" i="3"/>
  <c r="I49" i="3"/>
  <c r="Y49" i="3"/>
  <c r="Y47" i="3"/>
  <c r="D48" i="3"/>
  <c r="R49" i="3"/>
  <c r="M49" i="3"/>
  <c r="V49" i="3"/>
  <c r="S56" i="3"/>
  <c r="F61" i="3" s="1"/>
  <c r="T47" i="3"/>
  <c r="T49" i="3"/>
  <c r="F49" i="3"/>
  <c r="F48" i="3"/>
  <c r="F47" i="3"/>
  <c r="H49" i="3"/>
  <c r="W49" i="3"/>
  <c r="J49" i="3"/>
  <c r="U49" i="3"/>
  <c r="Y48" i="3"/>
  <c r="K47" i="3"/>
  <c r="L47" i="3"/>
  <c r="S48" i="3"/>
  <c r="M48" i="3"/>
  <c r="H48" i="3"/>
  <c r="I48" i="3"/>
  <c r="R47" i="3"/>
  <c r="W47" i="3"/>
  <c r="T48" i="3"/>
  <c r="R48" i="3"/>
  <c r="C61" i="3"/>
  <c r="V47" i="3"/>
  <c r="J48" i="3"/>
  <c r="M47" i="3"/>
  <c r="K48" i="3"/>
  <c r="U47" i="3"/>
  <c r="U48" i="3"/>
  <c r="W48" i="3"/>
  <c r="I47" i="3"/>
  <c r="L48" i="3"/>
  <c r="S47" i="3"/>
  <c r="V48" i="3"/>
  <c r="J47" i="3"/>
  <c r="H47" i="3"/>
  <c r="X48" i="3"/>
  <c r="X47" i="3"/>
  <c r="L14" i="1"/>
  <c r="L37" i="1"/>
  <c r="L38" i="1"/>
  <c r="L39" i="1"/>
  <c r="L9" i="1"/>
  <c r="L36" i="1"/>
  <c r="K14" i="1"/>
  <c r="K9" i="1"/>
  <c r="F60" i="3" l="1"/>
  <c r="D55" i="3"/>
  <c r="F66" i="3" s="1"/>
  <c r="R56" i="3"/>
  <c r="F63" i="3" s="1"/>
  <c r="C62" i="3"/>
  <c r="S55" i="3"/>
  <c r="F67" i="3" s="1"/>
  <c r="R54" i="3"/>
  <c r="R53" i="3"/>
  <c r="C63" i="3" s="1"/>
  <c r="F62" i="3"/>
  <c r="I55" i="3"/>
  <c r="F68" i="3" s="1"/>
  <c r="K36" i="1"/>
  <c r="K37" i="1"/>
  <c r="K38" i="1"/>
  <c r="K39" i="1"/>
  <c r="K40" i="1"/>
  <c r="R55" i="3" l="1"/>
  <c r="F69" i="3" s="1"/>
  <c r="C60" i="3"/>
  <c r="J14" i="1"/>
  <c r="J9" i="1"/>
  <c r="J38" i="1"/>
  <c r="J39" i="1"/>
  <c r="J40" i="1"/>
  <c r="J36" i="1"/>
  <c r="J37" i="1"/>
  <c r="G36" i="1" l="1"/>
  <c r="E37" i="1"/>
  <c r="F37" i="1"/>
  <c r="G37" i="1"/>
  <c r="H37" i="1"/>
  <c r="I37" i="1"/>
  <c r="E38" i="1"/>
  <c r="F38" i="1"/>
  <c r="G38" i="1"/>
  <c r="H38" i="1"/>
  <c r="I38" i="1"/>
  <c r="D39" i="1"/>
  <c r="E39" i="1"/>
  <c r="F39" i="1"/>
  <c r="G39" i="1"/>
  <c r="H39" i="1"/>
  <c r="I39" i="1"/>
  <c r="D40" i="1"/>
  <c r="E40" i="1"/>
  <c r="F40" i="1"/>
  <c r="G40" i="1"/>
  <c r="H40" i="1"/>
  <c r="I40" i="1"/>
  <c r="D41" i="1"/>
  <c r="E41" i="1"/>
  <c r="F41" i="1"/>
  <c r="H41" i="1"/>
  <c r="I41" i="1"/>
  <c r="D42" i="1"/>
  <c r="D43" i="1"/>
  <c r="C40" i="1"/>
  <c r="C41" i="1"/>
  <c r="C42" i="1"/>
  <c r="C43" i="1"/>
  <c r="C44" i="1"/>
  <c r="E14" i="1" l="1"/>
  <c r="I14" i="1"/>
  <c r="I9" i="1"/>
  <c r="H9" i="1" l="1"/>
  <c r="H14" i="1"/>
  <c r="C9" i="1" l="1"/>
  <c r="C14" i="1"/>
  <c r="G14" i="1"/>
  <c r="G9" i="1"/>
  <c r="D14" i="1"/>
  <c r="F14" i="1"/>
  <c r="F9" i="1"/>
  <c r="E9" i="1"/>
  <c r="D9" i="1"/>
</calcChain>
</file>

<file path=xl/sharedStrings.xml><?xml version="1.0" encoding="utf-8"?>
<sst xmlns="http://schemas.openxmlformats.org/spreadsheetml/2006/main" count="132" uniqueCount="63">
  <si>
    <t>Cal Runs</t>
  </si>
  <si>
    <t>Verif Runs</t>
  </si>
  <si>
    <t>Op Avg Dist</t>
  </si>
  <si>
    <t>Test</t>
  </si>
  <si>
    <t>4 Freestyle</t>
  </si>
  <si>
    <t>5 Freestyle</t>
  </si>
  <si>
    <t>Date</t>
  </si>
  <si>
    <t>Char Runs</t>
  </si>
  <si>
    <t>Predicted</t>
  </si>
  <si>
    <t>6 Freestyle</t>
  </si>
  <si>
    <t>Diff</t>
  </si>
  <si>
    <t>Op Max-Min</t>
  </si>
  <si>
    <t>Op Error</t>
  </si>
  <si>
    <t>Op Sdev</t>
  </si>
  <si>
    <t>7 Freestyle</t>
  </si>
  <si>
    <t>Operational Runs</t>
  </si>
  <si>
    <t>All Runs</t>
  </si>
  <si>
    <t>Impacts</t>
  </si>
  <si>
    <t>Human Measure</t>
  </si>
  <si>
    <t>4 SE v0</t>
  </si>
  <si>
    <t>5 SE v1</t>
  </si>
  <si>
    <t>6 SE v1</t>
  </si>
  <si>
    <t>7 SE v2</t>
  </si>
  <si>
    <t>8 SE v2</t>
  </si>
  <si>
    <t>9 SE v2</t>
  </si>
  <si>
    <t>10 SE v2</t>
  </si>
  <si>
    <t>Sonnet 4.6</t>
  </si>
  <si>
    <t>Opus 5</t>
  </si>
  <si>
    <t>Fable 5</t>
  </si>
  <si>
    <t>Model</t>
  </si>
  <si>
    <t>Opus 4.8</t>
  </si>
  <si>
    <t>Config</t>
  </si>
  <si>
    <t>Freestyle</t>
  </si>
  <si>
    <t>SE v2</t>
  </si>
  <si>
    <t>Max Stopping Distance (mm)</t>
  </si>
  <si>
    <t>Average Stopping Distance (mm)</t>
  </si>
  <si>
    <t>Predicted (mm)</t>
  </si>
  <si>
    <t>Approach</t>
  </si>
  <si>
    <t>SE v0</t>
  </si>
  <si>
    <t>SE v1</t>
  </si>
  <si>
    <t>Avg Stop Dist in Operation (mm)</t>
  </si>
  <si>
    <t>Sdev in Operation</t>
  </si>
  <si>
    <t>Error in Operation (mm)</t>
  </si>
  <si>
    <t>Characterization Runs</t>
  </si>
  <si>
    <t>Human Measurements</t>
  </si>
  <si>
    <t>Max-Min in Operation (mm)</t>
  </si>
  <si>
    <t>Opus 4.8 SE v2</t>
  </si>
  <si>
    <t>Opus 5 SE v2</t>
  </si>
  <si>
    <t>Opus 4.8 Freestyle</t>
  </si>
  <si>
    <t>Opus 5 Freestyle</t>
  </si>
  <si>
    <t>Run Stopping Distance Max</t>
  </si>
  <si>
    <t>Run Stopping Distance Min</t>
  </si>
  <si>
    <t>Run Stopping Distance Average</t>
  </si>
  <si>
    <t>Error vs Average</t>
  </si>
  <si>
    <t>Model/Cnfg Stopping Distance Max</t>
  </si>
  <si>
    <t>Model/Cngf Stopping Distance Min</t>
  </si>
  <si>
    <t xml:space="preserve"> Stopping Distance Max - Min</t>
  </si>
  <si>
    <t>Stopping Distance Max – Min (mm)</t>
  </si>
  <si>
    <t>Model Average Stopping Distance</t>
  </si>
  <si>
    <t>Model/Cnfg Error Max</t>
  </si>
  <si>
    <t>Model &amp; Approach</t>
  </si>
  <si>
    <t>Max Prediction Error (mm)</t>
  </si>
  <si>
    <t>Wall Contacts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</si>
</sst>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"/>
      <family val="2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10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1" fontId="0" fillId="0" borderId="1" xfId="0" applyNumberFormat="1" applyBorder="1" applyAlignment="1">
      <alignment horizontal="center"/>
    </xf>
    <xf numFmtId="14" fontId="0" fillId="0" borderId="0" xfId="0" applyNumberFormat="1"/>
    <xf numFmtId="14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1" fontId="0" fillId="0" borderId="2" xfId="0" applyNumberFormat="1" applyBorder="1" applyAlignment="1">
      <alignment horizontal="center"/>
    </xf>
    <xf numFmtId="0" fontId="1" fillId="0" borderId="0" xfId="0" applyFont="1" applyAlignment="1">
      <alignment horizontal="center" vertical="center" textRotation="90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2" xfId="0" applyBorder="1"/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" fontId="0" fillId="0" borderId="3" xfId="0" applyNumberFormat="1" applyBorder="1" applyAlignment="1">
      <alignment horizontal="center" vertical="center"/>
    </xf>
    <xf numFmtId="1" fontId="0" fillId="0" borderId="3" xfId="0" applyNumberFormat="1" applyBorder="1" applyAlignment="1">
      <alignment horizontal="center"/>
    </xf>
    <xf numFmtId="1" fontId="0" fillId="0" borderId="4" xfId="0" applyNumberForma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 vertical="center"/>
    </xf>
    <xf numFmtId="14" fontId="0" fillId="0" borderId="6" xfId="0" applyNumberFormat="1" applyBorder="1" applyAlignment="1">
      <alignment horizontal="center"/>
    </xf>
    <xf numFmtId="14" fontId="0" fillId="0" borderId="7" xfId="0" applyNumberFormat="1" applyBorder="1" applyAlignment="1">
      <alignment horizontal="center"/>
    </xf>
    <xf numFmtId="14" fontId="0" fillId="0" borderId="5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14" fontId="0" fillId="0" borderId="9" xfId="0" applyNumberForma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4" fontId="0" fillId="0" borderId="4" xfId="0" applyNumberForma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1" fontId="0" fillId="0" borderId="8" xfId="0" applyNumberFormat="1" applyBorder="1" applyAlignment="1">
      <alignment horizontal="center" vertical="center"/>
    </xf>
    <xf numFmtId="1" fontId="0" fillId="0" borderId="8" xfId="0" applyNumberFormat="1" applyBorder="1" applyAlignment="1">
      <alignment horizontal="center"/>
    </xf>
    <xf numFmtId="1" fontId="0" fillId="0" borderId="9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/>
    <xf numFmtId="0" fontId="0" fillId="0" borderId="6" xfId="0" applyBorder="1"/>
    <xf numFmtId="0" fontId="0" fillId="0" borderId="7" xfId="0" applyBorder="1"/>
    <xf numFmtId="0" fontId="0" fillId="0" borderId="9" xfId="0" applyBorder="1"/>
    <xf numFmtId="0" fontId="0" fillId="0" borderId="6" xfId="0" applyBorder="1" applyAlignment="1">
      <alignment horizontal="center"/>
    </xf>
    <xf numFmtId="0" fontId="0" fillId="0" borderId="9" xfId="0" applyBorder="1" applyAlignment="1">
      <alignment horizontal="center"/>
    </xf>
    <xf numFmtId="1" fontId="0" fillId="0" borderId="6" xfId="0" applyNumberFormat="1" applyBorder="1" applyAlignment="1">
      <alignment horizontal="center" vertical="center"/>
    </xf>
    <xf numFmtId="1" fontId="0" fillId="0" borderId="7" xfId="0" applyNumberFormat="1" applyBorder="1" applyAlignment="1">
      <alignment horizontal="center" vertical="center"/>
    </xf>
    <xf numFmtId="1" fontId="0" fillId="0" borderId="5" xfId="0" applyNumberFormat="1" applyBorder="1" applyAlignment="1">
      <alignment horizontal="center" vertical="center"/>
    </xf>
    <xf numFmtId="14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right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5" xfId="0" applyBorder="1" applyAlignment="1">
      <alignment horizontal="right"/>
    </xf>
    <xf numFmtId="0" fontId="0" fillId="0" borderId="8" xfId="0" applyBorder="1" applyAlignment="1">
      <alignment horizontal="right"/>
    </xf>
    <xf numFmtId="0" fontId="0" fillId="0" borderId="3" xfId="0" applyBorder="1" applyAlignment="1">
      <alignment horizontal="right"/>
    </xf>
    <xf numFmtId="164" fontId="0" fillId="0" borderId="1" xfId="0" applyNumberFormat="1" applyBorder="1" applyAlignment="1">
      <alignment horizontal="center"/>
    </xf>
    <xf numFmtId="164" fontId="0" fillId="0" borderId="9" xfId="0" applyNumberFormat="1" applyBorder="1" applyAlignment="1">
      <alignment horizontal="center"/>
    </xf>
    <xf numFmtId="164" fontId="0" fillId="0" borderId="4" xfId="0" applyNumberFormat="1" applyBorder="1" applyAlignment="1">
      <alignment horizontal="center"/>
    </xf>
    <xf numFmtId="0" fontId="0" fillId="0" borderId="4" xfId="0" applyBorder="1"/>
    <xf numFmtId="1" fontId="2" fillId="3" borderId="0" xfId="0" applyNumberFormat="1" applyFont="1" applyFill="1" applyAlignment="1">
      <alignment horizontal="center"/>
    </xf>
    <xf numFmtId="1" fontId="2" fillId="3" borderId="8" xfId="0" applyNumberFormat="1" applyFont="1" applyFill="1" applyBorder="1" applyAlignment="1">
      <alignment horizontal="center"/>
    </xf>
    <xf numFmtId="1" fontId="2" fillId="3" borderId="6" xfId="0" applyNumberFormat="1" applyFont="1" applyFill="1" applyBorder="1" applyAlignment="1">
      <alignment horizontal="center"/>
    </xf>
    <xf numFmtId="1" fontId="2" fillId="3" borderId="7" xfId="0" applyNumberFormat="1" applyFont="1" applyFill="1" applyBorder="1" applyAlignment="1">
      <alignment horizontal="center"/>
    </xf>
    <xf numFmtId="1" fontId="2" fillId="3" borderId="5" xfId="0" applyNumberFormat="1" applyFont="1" applyFill="1" applyBorder="1" applyAlignment="1">
      <alignment horizontal="center"/>
    </xf>
    <xf numFmtId="14" fontId="0" fillId="3" borderId="0" xfId="0" applyNumberFormat="1" applyFill="1" applyAlignment="1">
      <alignment horizontal="center"/>
    </xf>
    <xf numFmtId="0" fontId="0" fillId="3" borderId="0" xfId="0" applyFill="1"/>
    <xf numFmtId="0" fontId="0" fillId="3" borderId="0" xfId="0" applyFill="1" applyAlignment="1">
      <alignment horizontal="center"/>
    </xf>
    <xf numFmtId="14" fontId="0" fillId="3" borderId="0" xfId="0" applyNumberFormat="1" applyFill="1" applyAlignment="1">
      <alignment horizontal="center" vertical="center" wrapText="1"/>
    </xf>
    <xf numFmtId="0" fontId="0" fillId="3" borderId="0" xfId="0" applyFill="1" applyAlignment="1">
      <alignment vertical="center"/>
    </xf>
    <xf numFmtId="0" fontId="0" fillId="3" borderId="0" xfId="0" applyFill="1" applyAlignment="1">
      <alignment horizontal="center" vertical="center"/>
    </xf>
    <xf numFmtId="1" fontId="0" fillId="3" borderId="0" xfId="0" applyNumberFormat="1" applyFill="1" applyAlignment="1">
      <alignment horizontal="center" vertical="center"/>
    </xf>
    <xf numFmtId="1" fontId="0" fillId="3" borderId="0" xfId="0" applyNumberFormat="1" applyFill="1" applyAlignment="1">
      <alignment horizontal="center"/>
    </xf>
    <xf numFmtId="0" fontId="1" fillId="2" borderId="0" xfId="0" applyFont="1" applyFill="1" applyAlignment="1">
      <alignment horizontal="right" vertical="center"/>
    </xf>
    <xf numFmtId="1" fontId="0" fillId="0" borderId="8" xfId="0" applyNumberFormat="1" applyBorder="1"/>
    <xf numFmtId="14" fontId="0" fillId="0" borderId="0" xfId="0" applyNumberFormat="1" applyAlignment="1">
      <alignment horizontal="center" vertical="center"/>
    </xf>
    <xf numFmtId="14" fontId="0" fillId="0" borderId="8" xfId="0" applyNumberFormat="1" applyBorder="1" applyAlignment="1">
      <alignment horizontal="center" vertical="center"/>
    </xf>
    <xf numFmtId="14" fontId="0" fillId="0" borderId="8" xfId="0" applyNumberFormat="1" applyBorder="1" applyAlignment="1">
      <alignment horizontal="center" vertical="center" wrapText="1"/>
    </xf>
    <xf numFmtId="14" fontId="0" fillId="0" borderId="3" xfId="0" applyNumberFormat="1" applyBorder="1" applyAlignment="1">
      <alignment horizontal="center" vertical="center" wrapText="1"/>
    </xf>
    <xf numFmtId="1" fontId="0" fillId="0" borderId="0" xfId="0" applyNumberFormat="1"/>
    <xf numFmtId="0" fontId="1" fillId="0" borderId="0" xfId="0" applyFont="1" applyAlignment="1">
      <alignment horizontal="right" vertical="center"/>
    </xf>
    <xf numFmtId="164" fontId="0" fillId="0" borderId="8" xfId="0" applyNumberFormat="1" applyBorder="1" applyAlignment="1">
      <alignment horizontal="right"/>
    </xf>
    <xf numFmtId="164" fontId="0" fillId="0" borderId="0" xfId="0" applyNumberFormat="1" applyAlignment="1">
      <alignment horizontal="right"/>
    </xf>
    <xf numFmtId="164" fontId="0" fillId="0" borderId="3" xfId="0" applyNumberFormat="1" applyBorder="1" applyAlignment="1">
      <alignment horizontal="right"/>
    </xf>
    <xf numFmtId="0" fontId="0" fillId="0" borderId="3" xfId="0" applyBorder="1"/>
    <xf numFmtId="164" fontId="0" fillId="0" borderId="1" xfId="0" applyNumberFormat="1" applyBorder="1" applyAlignment="1">
      <alignment horizontal="right"/>
    </xf>
    <xf numFmtId="164" fontId="0" fillId="0" borderId="9" xfId="0" applyNumberFormat="1" applyBorder="1" applyAlignment="1">
      <alignment horizontal="right"/>
    </xf>
    <xf numFmtId="0" fontId="3" fillId="0" borderId="0" xfId="0" applyFont="1" applyAlignment="1">
      <alignment horizontal="right"/>
    </xf>
    <xf numFmtId="1" fontId="0" fillId="0" borderId="8" xfId="0" applyNumberFormat="1" applyBorder="1"/>
    <xf numFmtId="1" fontId="0" fillId="0" borderId="0" xfId="0" applyNumberFormat="1"/>
    <xf numFmtId="1" fontId="0" fillId="0" borderId="3" xfId="0" applyNumberFormat="1" applyBorder="1"/>
    <xf numFmtId="1" fontId="0" fillId="0" borderId="9" xfId="0" applyNumberFormat="1" applyBorder="1"/>
    <xf numFmtId="1" fontId="0" fillId="0" borderId="1" xfId="0" applyNumberFormat="1" applyBorder="1"/>
    <xf numFmtId="1" fontId="0" fillId="0" borderId="4" xfId="0" applyNumberFormat="1" applyBorder="1"/>
    <xf numFmtId="0" fontId="0" fillId="0" borderId="0" xfId="0" applyAlignment="1">
      <alignment horizontal="center"/>
    </xf>
    <xf numFmtId="1" fontId="0" fillId="0" borderId="6" xfId="0" applyNumberFormat="1" applyBorder="1"/>
    <xf numFmtId="1" fontId="0" fillId="0" borderId="7" xfId="0" applyNumberFormat="1" applyBorder="1"/>
    <xf numFmtId="1" fontId="0" fillId="0" borderId="5" xfId="0" applyNumberFormat="1" applyBorder="1"/>
    <xf numFmtId="0" fontId="1" fillId="2" borderId="0" xfId="0" applyFont="1" applyFill="1" applyAlignment="1">
      <alignment horizontal="center" vertical="center" textRotation="90"/>
    </xf>
  </cellXfs>
  <cellStyles count="1">
    <cellStyle name="Normal" xfId="0" builtinId="0"/>
  </cellStyles>
  <dxfs count="1">
    <dxf>
      <font>
        <color rgb="FFFFFFFF"/>
      </font>
    </dxf>
  </dxfs>
  <tableStyles count="0" defaultTableStyle="TableStyleMedium2" defaultPivotStyle="PivotStyleLight16"/>
  <colors>
    <mruColors>
      <color rgb="FF994010"/>
      <color rgb="FF99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'Opus 4.8'!$D$3</c:f>
              <c:strCache>
                <c:ptCount val="1"/>
                <c:pt idx="0">
                  <c:v>4 Freestyle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'Opus 4.8'!$B$6:$B$9</c15:sqref>
                  </c15:fullRef>
                </c:ext>
              </c:extLst>
              <c:f>('Opus 4.8'!$B$6:$B$7,'Opus 4.8'!$B$9)</c:f>
              <c:strCache>
                <c:ptCount val="3"/>
                <c:pt idx="0">
                  <c:v>Human Measure</c:v>
                </c:pt>
                <c:pt idx="1">
                  <c:v>Impacts</c:v>
                </c:pt>
                <c:pt idx="2">
                  <c:v>Char Runs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'Opus 4.8'!$D$6:$D$9</c15:sqref>
                  </c15:fullRef>
                </c:ext>
              </c:extLst>
              <c:f>('Opus 4.8'!$D$6:$D$7,'Opus 4.8'!$D$9)</c:f>
              <c:numCache>
                <c:formatCode>General</c:formatCode>
                <c:ptCount val="3"/>
                <c:pt idx="0">
                  <c:v>0</c:v>
                </c:pt>
                <c:pt idx="1">
                  <c:v>4</c:v>
                </c:pt>
                <c:pt idx="2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31A-4E47-A125-2957C3653DEA}"/>
            </c:ext>
          </c:extLst>
        </c:ser>
        <c:ser>
          <c:idx val="3"/>
          <c:order val="1"/>
          <c:tx>
            <c:strRef>
              <c:f>'Opus 4.8'!$F$3</c:f>
              <c:strCache>
                <c:ptCount val="1"/>
                <c:pt idx="0">
                  <c:v>5 Freestyle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'Opus 4.8'!$B$6:$B$9</c15:sqref>
                  </c15:fullRef>
                </c:ext>
              </c:extLst>
              <c:f>('Opus 4.8'!$B$6:$B$7,'Opus 4.8'!$B$9)</c:f>
              <c:strCache>
                <c:ptCount val="3"/>
                <c:pt idx="0">
                  <c:v>Human Measure</c:v>
                </c:pt>
                <c:pt idx="1">
                  <c:v>Impacts</c:v>
                </c:pt>
                <c:pt idx="2">
                  <c:v>Char Runs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'Opus 4.8'!$F$6:$F$9</c15:sqref>
                  </c15:fullRef>
                </c:ext>
              </c:extLst>
              <c:f>('Opus 4.8'!$F$6:$F$7,'Opus 4.8'!$F$9)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31A-4E47-A125-2957C3653DEA}"/>
            </c:ext>
          </c:extLst>
        </c:ser>
        <c:ser>
          <c:idx val="5"/>
          <c:order val="2"/>
          <c:tx>
            <c:strRef>
              <c:f>'Opus 4.8'!$H$3</c:f>
              <c:strCache>
                <c:ptCount val="1"/>
                <c:pt idx="0">
                  <c:v>6 Freestyle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Human Measure</c:v>
              </c:pt>
              <c:pt idx="1">
                <c:v>Impacts</c:v>
              </c:pt>
              <c:pt idx="2">
                <c:v>Char Runs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'Opus 4.8'!$H$6:$H$9</c15:sqref>
                  </c15:fullRef>
                </c:ext>
              </c:extLst>
              <c:f>('Opus 4.8'!$H$6:$H$7,'Opus 4.8'!$H$9)</c:f>
              <c:numCache>
                <c:formatCode>General</c:formatCode>
                <c:ptCount val="3"/>
                <c:pt idx="0">
                  <c:v>1</c:v>
                </c:pt>
                <c:pt idx="1">
                  <c:v>0</c:v>
                </c:pt>
                <c:pt idx="2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6B-4A97-922B-37E9C56CEB5E}"/>
            </c:ext>
          </c:extLst>
        </c:ser>
        <c:ser>
          <c:idx val="7"/>
          <c:order val="3"/>
          <c:tx>
            <c:strRef>
              <c:f>'Opus 4.8'!$J$3</c:f>
              <c:strCache>
                <c:ptCount val="1"/>
                <c:pt idx="0">
                  <c:v>7 Freestyle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Human Measure</c:v>
              </c:pt>
              <c:pt idx="1">
                <c:v>Impacts</c:v>
              </c:pt>
              <c:pt idx="2">
                <c:v>Char Runs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'Opus 4.8'!$J$6:$J$9</c15:sqref>
                  </c15:fullRef>
                </c:ext>
              </c:extLst>
              <c:f>('Opus 4.8'!$J$6:$J$7,'Opus 4.8'!$J$9)</c:f>
              <c:numCache>
                <c:formatCode>General</c:formatCode>
                <c:ptCount val="3"/>
                <c:pt idx="0">
                  <c:v>0</c:v>
                </c:pt>
                <c:pt idx="1">
                  <c:v>1</c:v>
                </c:pt>
                <c:pt idx="2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C9-49C3-BBBD-FCD6FE7827A1}"/>
            </c:ext>
          </c:extLst>
        </c:ser>
        <c:ser>
          <c:idx val="0"/>
          <c:order val="4"/>
          <c:tx>
            <c:strRef>
              <c:f>'Opus 4.8'!$C$3</c:f>
              <c:strCache>
                <c:ptCount val="1"/>
                <c:pt idx="0">
                  <c:v>4 SE v0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'Opus 4.8'!$B$6:$B$9</c15:sqref>
                  </c15:fullRef>
                </c:ext>
              </c:extLst>
              <c:f>('Opus 4.8'!$B$6:$B$7,'Opus 4.8'!$B$9)</c:f>
              <c:strCache>
                <c:ptCount val="3"/>
                <c:pt idx="0">
                  <c:v>Human Measure</c:v>
                </c:pt>
                <c:pt idx="1">
                  <c:v>Impacts</c:v>
                </c:pt>
                <c:pt idx="2">
                  <c:v>Char Runs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'Opus 4.8'!$C$6:$C$9</c15:sqref>
                  </c15:fullRef>
                </c:ext>
              </c:extLst>
              <c:f>('Opus 4.8'!$C$6:$C$7,'Opus 4.8'!$C$9)</c:f>
              <c:numCache>
                <c:formatCode>General</c:formatCode>
                <c:ptCount val="3"/>
                <c:pt idx="0">
                  <c:v>3</c:v>
                </c:pt>
                <c:pt idx="1">
                  <c:v>1</c:v>
                </c:pt>
                <c:pt idx="2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1A-4E47-A125-2957C3653DEA}"/>
            </c:ext>
          </c:extLst>
        </c:ser>
        <c:ser>
          <c:idx val="2"/>
          <c:order val="5"/>
          <c:tx>
            <c:strRef>
              <c:f>'Opus 4.8'!$E$3</c:f>
              <c:strCache>
                <c:ptCount val="1"/>
                <c:pt idx="0">
                  <c:v>5 SE v1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'Opus 4.8'!$B$6:$B$9</c15:sqref>
                  </c15:fullRef>
                </c:ext>
              </c:extLst>
              <c:f>('Opus 4.8'!$B$6:$B$7,'Opus 4.8'!$B$9)</c:f>
              <c:strCache>
                <c:ptCount val="3"/>
                <c:pt idx="0">
                  <c:v>Human Measure</c:v>
                </c:pt>
                <c:pt idx="1">
                  <c:v>Impacts</c:v>
                </c:pt>
                <c:pt idx="2">
                  <c:v>Char Runs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'Opus 4.8'!$E$6:$E$9</c15:sqref>
                  </c15:fullRef>
                </c:ext>
              </c:extLst>
              <c:f>('Opus 4.8'!$E$6:$E$7,'Opus 4.8'!$E$9)</c:f>
              <c:numCache>
                <c:formatCode>General</c:formatCode>
                <c:ptCount val="3"/>
                <c:pt idx="0">
                  <c:v>1</c:v>
                </c:pt>
                <c:pt idx="1">
                  <c:v>0</c:v>
                </c:pt>
                <c:pt idx="2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31A-4E47-A125-2957C3653DEA}"/>
            </c:ext>
          </c:extLst>
        </c:ser>
        <c:ser>
          <c:idx val="4"/>
          <c:order val="6"/>
          <c:tx>
            <c:strRef>
              <c:f>'Opus 4.8'!$G$3</c:f>
              <c:strCache>
                <c:ptCount val="1"/>
                <c:pt idx="0">
                  <c:v>6 SE v1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Human Measure</c:v>
              </c:pt>
              <c:pt idx="1">
                <c:v>Impacts</c:v>
              </c:pt>
              <c:pt idx="2">
                <c:v>Char Runs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'Opus 4.8'!$G$6:$G$9</c15:sqref>
                  </c15:fullRef>
                </c:ext>
              </c:extLst>
              <c:f>('Opus 4.8'!$G$6:$G$7,'Opus 4.8'!$G$9)</c:f>
              <c:numCache>
                <c:formatCode>General</c:formatCode>
                <c:ptCount val="3"/>
                <c:pt idx="0">
                  <c:v>3</c:v>
                </c:pt>
                <c:pt idx="1">
                  <c:v>0</c:v>
                </c:pt>
                <c:pt idx="2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6B-4A7D-8E9A-CBC3F1217CFE}"/>
            </c:ext>
          </c:extLst>
        </c:ser>
        <c:ser>
          <c:idx val="6"/>
          <c:order val="7"/>
          <c:tx>
            <c:strRef>
              <c:f>'Opus 4.8'!$I$3</c:f>
              <c:strCache>
                <c:ptCount val="1"/>
                <c:pt idx="0">
                  <c:v>7 SE v2</c:v>
                </c:pt>
              </c:strCache>
            </c:strRef>
          </c:tx>
          <c:spPr>
            <a:solidFill>
              <a:schemeClr val="accent5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Human Measure</c:v>
              </c:pt>
              <c:pt idx="1">
                <c:v>Impacts</c:v>
              </c:pt>
              <c:pt idx="2">
                <c:v>Char Runs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'Opus 4.8'!$I$6:$I$9</c15:sqref>
                  </c15:fullRef>
                </c:ext>
              </c:extLst>
              <c:f>('Opus 4.8'!$I$6:$I$7,'Opus 4.8'!$I$9)</c:f>
              <c:numCache>
                <c:formatCode>General</c:formatCode>
                <c:ptCount val="3"/>
                <c:pt idx="0">
                  <c:v>4</c:v>
                </c:pt>
                <c:pt idx="1">
                  <c:v>1</c:v>
                </c:pt>
                <c:pt idx="2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E2-49A7-8D50-2EEB127B1C03}"/>
            </c:ext>
          </c:extLst>
        </c:ser>
        <c:ser>
          <c:idx val="8"/>
          <c:order val="8"/>
          <c:tx>
            <c:strRef>
              <c:f>'Opus 4.8'!$K$3</c:f>
              <c:strCache>
                <c:ptCount val="1"/>
                <c:pt idx="0">
                  <c:v>8 SE v2</c:v>
                </c:pt>
              </c:strCache>
            </c:strRef>
          </c:tx>
          <c:spPr>
            <a:solidFill>
              <a:schemeClr val="tx2"/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Human Measure</c:v>
              </c:pt>
              <c:pt idx="1">
                <c:v>Impacts</c:v>
              </c:pt>
              <c:pt idx="2">
                <c:v>Char Runs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'Opus 4.8'!$K$6:$K$9</c15:sqref>
                  </c15:fullRef>
                </c:ext>
              </c:extLst>
              <c:f>('Opus 4.8'!$K$6:$K$7,'Opus 4.8'!$K$9)</c:f>
              <c:numCache>
                <c:formatCode>General</c:formatCode>
                <c:ptCount val="3"/>
                <c:pt idx="0">
                  <c:v>1</c:v>
                </c:pt>
                <c:pt idx="1">
                  <c:v>0</c:v>
                </c:pt>
                <c:pt idx="2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23-4BCE-B4AA-96F5375311F8}"/>
            </c:ext>
          </c:extLst>
        </c:ser>
        <c:ser>
          <c:idx val="9"/>
          <c:order val="9"/>
          <c:tx>
            <c:strRef>
              <c:f>'Opus 4.8'!$L$3</c:f>
              <c:strCache>
                <c:ptCount val="1"/>
                <c:pt idx="0">
                  <c:v>9 SE v2</c:v>
                </c:pt>
              </c:strCache>
            </c:strRef>
          </c:tx>
          <c:spPr>
            <a:solidFill>
              <a:schemeClr val="bg2">
                <a:lumMod val="25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Human Measure</c:v>
              </c:pt>
              <c:pt idx="1">
                <c:v>Impacts</c:v>
              </c:pt>
              <c:pt idx="2">
                <c:v>Char Runs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'Opus 4.8'!$L$6:$L$9</c15:sqref>
                  </c15:fullRef>
                </c:ext>
              </c:extLst>
              <c:f>('Opus 4.8'!$L$6:$L$7,'Opus 4.8'!$L$9)</c:f>
              <c:numCache>
                <c:formatCode>General</c:formatCode>
                <c:ptCount val="3"/>
                <c:pt idx="0">
                  <c:v>2</c:v>
                </c:pt>
                <c:pt idx="1">
                  <c:v>0</c:v>
                </c:pt>
                <c:pt idx="2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D2-47F4-B5E2-A5D05CF09B34}"/>
            </c:ext>
          </c:extLst>
        </c:ser>
        <c:ser>
          <c:idx val="10"/>
          <c:order val="10"/>
          <c:tx>
            <c:strRef>
              <c:f>'Opus 4.8'!$M$3</c:f>
              <c:strCache>
                <c:ptCount val="1"/>
                <c:pt idx="0">
                  <c:v>10 SE v2</c:v>
                </c:pt>
              </c:strCache>
            </c:strRef>
          </c:tx>
          <c:spPr>
            <a:solidFill>
              <a:schemeClr val="bg2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Human Measure</c:v>
              </c:pt>
              <c:pt idx="1">
                <c:v>Impacts</c:v>
              </c:pt>
              <c:pt idx="2">
                <c:v>Char Runs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'Opus 4.8'!$M$6:$M$9</c15:sqref>
                  </c15:fullRef>
                </c:ext>
              </c:extLst>
              <c:f>('Opus 4.8'!$M$6:$M$7,'Opus 4.8'!$M$9)</c:f>
              <c:numCache>
                <c:formatCode>General</c:formatCode>
                <c:ptCount val="3"/>
                <c:pt idx="0">
                  <c:v>1</c:v>
                </c:pt>
                <c:pt idx="1">
                  <c:v>0</c:v>
                </c:pt>
                <c:pt idx="2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0A-41D4-A0FA-D849C08CCF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3320239"/>
        <c:axId val="83323119"/>
      </c:barChart>
      <c:catAx>
        <c:axId val="833202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323119"/>
        <c:crosses val="autoZero"/>
        <c:auto val="1"/>
        <c:lblAlgn val="ctr"/>
        <c:lblOffset val="100"/>
        <c:noMultiLvlLbl val="0"/>
      </c:catAx>
      <c:valAx>
        <c:axId val="833231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3202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'Opus 4.8'!$D$3</c:f>
              <c:strCache>
                <c:ptCount val="1"/>
                <c:pt idx="0">
                  <c:v>4 Freestyle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'Opus 4.8'!$B$10:$B$14</c15:sqref>
                  </c15:fullRef>
                </c:ext>
              </c:extLst>
              <c:f>('Opus 4.8'!$B$10,'Opus 4.8'!$B$12,'Opus 4.8'!$B$14)</c:f>
              <c:strCache>
                <c:ptCount val="3"/>
                <c:pt idx="0">
                  <c:v>Op Avg Dist</c:v>
                </c:pt>
                <c:pt idx="1">
                  <c:v>Op Sdev</c:v>
                </c:pt>
                <c:pt idx="2">
                  <c:v>Op Error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'Opus 4.8'!$D$10:$D$14</c15:sqref>
                  </c15:fullRef>
                </c:ext>
              </c:extLst>
              <c:f>('Opus 4.8'!$D$10,'Opus 4.8'!$D$12,'Opus 4.8'!$D$14)</c:f>
              <c:numCache>
                <c:formatCode>0</c:formatCode>
                <c:ptCount val="3"/>
                <c:pt idx="0">
                  <c:v>91.8</c:v>
                </c:pt>
                <c:pt idx="1">
                  <c:v>7.5630681604756154</c:v>
                </c:pt>
                <c:pt idx="2">
                  <c:v>27.799999999999997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983-4C49-A73A-06B1D29DCB9D}"/>
            </c:ext>
          </c:extLst>
        </c:ser>
        <c:ser>
          <c:idx val="3"/>
          <c:order val="1"/>
          <c:tx>
            <c:strRef>
              <c:f>'Opus 4.8'!$F$3</c:f>
              <c:strCache>
                <c:ptCount val="1"/>
                <c:pt idx="0">
                  <c:v>5 Freestyle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'Opus 4.8'!$B$10:$B$14</c15:sqref>
                  </c15:fullRef>
                </c:ext>
              </c:extLst>
              <c:f>('Opus 4.8'!$B$10,'Opus 4.8'!$B$12,'Opus 4.8'!$B$14)</c:f>
              <c:strCache>
                <c:ptCount val="3"/>
                <c:pt idx="0">
                  <c:v>Op Avg Dist</c:v>
                </c:pt>
                <c:pt idx="1">
                  <c:v>Op Sdev</c:v>
                </c:pt>
                <c:pt idx="2">
                  <c:v>Op Error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'Opus 4.8'!$F$10:$F$14</c15:sqref>
                  </c15:fullRef>
                </c:ext>
              </c:extLst>
              <c:f>('Opus 4.8'!$F$10,'Opus 4.8'!$F$12,'Opus 4.8'!$F$14)</c:f>
              <c:numCache>
                <c:formatCode>0</c:formatCode>
                <c:ptCount val="3"/>
                <c:pt idx="0">
                  <c:v>213.8</c:v>
                </c:pt>
                <c:pt idx="1">
                  <c:v>39.277219860881154</c:v>
                </c:pt>
                <c:pt idx="2">
                  <c:v>148.80000000000001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983-4C49-A73A-06B1D29DCB9D}"/>
            </c:ext>
          </c:extLst>
        </c:ser>
        <c:ser>
          <c:idx val="5"/>
          <c:order val="2"/>
          <c:tx>
            <c:strRef>
              <c:f>'Opus 4.8'!$H$3</c:f>
              <c:strCache>
                <c:ptCount val="1"/>
                <c:pt idx="0">
                  <c:v>6 Freestyle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Op Avg Dist</c:v>
              </c:pt>
              <c:pt idx="1">
                <c:v>Op Sdev</c:v>
              </c:pt>
              <c:pt idx="2">
                <c:v>Op Error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'Opus 4.8'!$H$10:$H$14</c15:sqref>
                  </c15:fullRef>
                </c:ext>
              </c:extLst>
              <c:f>('Opus 4.8'!$H$10,'Opus 4.8'!$H$12,'Opus 4.8'!$H$14)</c:f>
              <c:numCache>
                <c:formatCode>0</c:formatCode>
                <c:ptCount val="3"/>
                <c:pt idx="0">
                  <c:v>167.4</c:v>
                </c:pt>
                <c:pt idx="1">
                  <c:v>113.0013274258316</c:v>
                </c:pt>
                <c:pt idx="2">
                  <c:v>122.4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30-4449-AD10-4F9F617C74C0}"/>
            </c:ext>
          </c:extLst>
        </c:ser>
        <c:ser>
          <c:idx val="7"/>
          <c:order val="3"/>
          <c:tx>
            <c:strRef>
              <c:f>'Opus 4.8'!$J$3</c:f>
              <c:strCache>
                <c:ptCount val="1"/>
                <c:pt idx="0">
                  <c:v>7 Freestyle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Op Avg Dist</c:v>
              </c:pt>
              <c:pt idx="1">
                <c:v>Op Sdev</c:v>
              </c:pt>
              <c:pt idx="2">
                <c:v>Op Error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'Opus 4.8'!$J$10:$J$14</c15:sqref>
                  </c15:fullRef>
                </c:ext>
              </c:extLst>
              <c:f>('Opus 4.8'!$J$10,'Opus 4.8'!$J$12,'Opus 4.8'!$J$14)</c:f>
              <c:numCache>
                <c:formatCode>0</c:formatCode>
                <c:ptCount val="3"/>
                <c:pt idx="0">
                  <c:v>175.4</c:v>
                </c:pt>
                <c:pt idx="1">
                  <c:v>13.049904214207857</c:v>
                </c:pt>
                <c:pt idx="2">
                  <c:v>133.4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8A-479E-9E9F-334EE0774686}"/>
            </c:ext>
          </c:extLst>
        </c:ser>
        <c:ser>
          <c:idx val="0"/>
          <c:order val="4"/>
          <c:tx>
            <c:strRef>
              <c:f>'Opus 4.8'!$C$3</c:f>
              <c:strCache>
                <c:ptCount val="1"/>
                <c:pt idx="0">
                  <c:v>4 SE v0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'Opus 4.8'!$B$10:$B$14</c15:sqref>
                  </c15:fullRef>
                </c:ext>
              </c:extLst>
              <c:f>('Opus 4.8'!$B$10,'Opus 4.8'!$B$12,'Opus 4.8'!$B$14)</c:f>
              <c:strCache>
                <c:ptCount val="3"/>
                <c:pt idx="0">
                  <c:v>Op Avg Dist</c:v>
                </c:pt>
                <c:pt idx="1">
                  <c:v>Op Sdev</c:v>
                </c:pt>
                <c:pt idx="2">
                  <c:v>Op Error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'Opus 4.8'!$C$10:$C$14</c15:sqref>
                  </c15:fullRef>
                </c:ext>
              </c:extLst>
              <c:f>('Opus 4.8'!$C$10,'Opus 4.8'!$C$12,'Opus 4.8'!$C$14)</c:f>
              <c:numCache>
                <c:formatCode>0</c:formatCode>
                <c:ptCount val="3"/>
                <c:pt idx="0">
                  <c:v>192.4</c:v>
                </c:pt>
                <c:pt idx="1">
                  <c:v>12.054044964243332</c:v>
                </c:pt>
                <c:pt idx="2">
                  <c:v>19.400000000000006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83-4C49-A73A-06B1D29DCB9D}"/>
            </c:ext>
          </c:extLst>
        </c:ser>
        <c:ser>
          <c:idx val="2"/>
          <c:order val="5"/>
          <c:tx>
            <c:strRef>
              <c:f>'Opus 4.8'!$E$3</c:f>
              <c:strCache>
                <c:ptCount val="1"/>
                <c:pt idx="0">
                  <c:v>5 SE v1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'Opus 4.8'!$B$10:$B$14</c15:sqref>
                  </c15:fullRef>
                </c:ext>
              </c:extLst>
              <c:f>('Opus 4.8'!$B$10,'Opus 4.8'!$B$12,'Opus 4.8'!$B$14)</c:f>
              <c:strCache>
                <c:ptCount val="3"/>
                <c:pt idx="0">
                  <c:v>Op Avg Dist</c:v>
                </c:pt>
                <c:pt idx="1">
                  <c:v>Op Sdev</c:v>
                </c:pt>
                <c:pt idx="2">
                  <c:v>Op Error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'Opus 4.8'!$E$10:$E$14</c15:sqref>
                  </c15:fullRef>
                </c:ext>
              </c:extLst>
              <c:f>('Opus 4.8'!$E$10,'Opus 4.8'!$E$12,'Opus 4.8'!$E$14)</c:f>
              <c:numCache>
                <c:formatCode>0</c:formatCode>
                <c:ptCount val="3"/>
                <c:pt idx="0">
                  <c:v>70.8</c:v>
                </c:pt>
                <c:pt idx="1">
                  <c:v>5.4497706373754848</c:v>
                </c:pt>
                <c:pt idx="2">
                  <c:v>0.79999999999999716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983-4C49-A73A-06B1D29DCB9D}"/>
            </c:ext>
          </c:extLst>
        </c:ser>
        <c:ser>
          <c:idx val="4"/>
          <c:order val="6"/>
          <c:tx>
            <c:strRef>
              <c:f>'Opus 4.8'!$G$3</c:f>
              <c:strCache>
                <c:ptCount val="1"/>
                <c:pt idx="0">
                  <c:v>6 SE v1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Op Avg Dist</c:v>
              </c:pt>
              <c:pt idx="1">
                <c:v>Op Sdev</c:v>
              </c:pt>
              <c:pt idx="2">
                <c:v>Op Error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'Opus 4.8'!$G$10:$G$14</c15:sqref>
                  </c15:fullRef>
                </c:ext>
              </c:extLst>
              <c:f>('Opus 4.8'!$G$10,'Opus 4.8'!$G$12,'Opus 4.8'!$G$14)</c:f>
              <c:numCache>
                <c:formatCode>0</c:formatCode>
                <c:ptCount val="3"/>
                <c:pt idx="0">
                  <c:v>148</c:v>
                </c:pt>
                <c:pt idx="1">
                  <c:v>9</c:v>
                </c:pt>
                <c:pt idx="2">
                  <c:v>104.5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6E6-4A6C-8AC9-E6D23C79F65F}"/>
            </c:ext>
          </c:extLst>
        </c:ser>
        <c:ser>
          <c:idx val="6"/>
          <c:order val="7"/>
          <c:tx>
            <c:strRef>
              <c:f>'Opus 4.8'!$I$3</c:f>
              <c:strCache>
                <c:ptCount val="1"/>
                <c:pt idx="0">
                  <c:v>7 SE v2</c:v>
                </c:pt>
              </c:strCache>
            </c:strRef>
          </c:tx>
          <c:spPr>
            <a:solidFill>
              <a:schemeClr val="accent5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Op Avg Dist</c:v>
              </c:pt>
              <c:pt idx="1">
                <c:v>Op Sdev</c:v>
              </c:pt>
              <c:pt idx="2">
                <c:v>Op Error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'Opus 4.8'!$I$10:$I$14</c15:sqref>
                  </c15:fullRef>
                </c:ext>
              </c:extLst>
              <c:f>('Opus 4.8'!$I$10,'Opus 4.8'!$I$12,'Opus 4.8'!$I$14)</c:f>
              <c:numCache>
                <c:formatCode>0</c:formatCode>
                <c:ptCount val="3"/>
                <c:pt idx="0">
                  <c:v>44</c:v>
                </c:pt>
                <c:pt idx="1">
                  <c:v>7.1063352017759476</c:v>
                </c:pt>
                <c:pt idx="2">
                  <c:v>-3.5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FF-4E63-AAD3-740ADE87300B}"/>
            </c:ext>
          </c:extLst>
        </c:ser>
        <c:ser>
          <c:idx val="8"/>
          <c:order val="8"/>
          <c:tx>
            <c:strRef>
              <c:f>'Opus 4.8'!$K$3</c:f>
              <c:strCache>
                <c:ptCount val="1"/>
                <c:pt idx="0">
                  <c:v>8 SE v2</c:v>
                </c:pt>
              </c:strCache>
            </c:strRef>
          </c:tx>
          <c:spPr>
            <a:solidFill>
              <a:schemeClr val="tx2"/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Op Avg Dist</c:v>
              </c:pt>
              <c:pt idx="1">
                <c:v>Op Sdev</c:v>
              </c:pt>
              <c:pt idx="2">
                <c:v>Op Error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'Opus 4.8'!$K$10:$K$14</c15:sqref>
                  </c15:fullRef>
                </c:ext>
              </c:extLst>
              <c:f>('Opus 4.8'!$K$10,'Opus 4.8'!$K$12,'Opus 4.8'!$K$14)</c:f>
              <c:numCache>
                <c:formatCode>0</c:formatCode>
                <c:ptCount val="3"/>
                <c:pt idx="0">
                  <c:v>43.4</c:v>
                </c:pt>
                <c:pt idx="1">
                  <c:v>7.700649323271394</c:v>
                </c:pt>
                <c:pt idx="2">
                  <c:v>-1.7000000000000028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8A-4008-B98F-40A74B0C5393}"/>
            </c:ext>
          </c:extLst>
        </c:ser>
        <c:ser>
          <c:idx val="9"/>
          <c:order val="9"/>
          <c:tx>
            <c:strRef>
              <c:f>'Opus 4.8'!$L$3</c:f>
              <c:strCache>
                <c:ptCount val="1"/>
                <c:pt idx="0">
                  <c:v>9 SE v2</c:v>
                </c:pt>
              </c:strCache>
            </c:strRef>
          </c:tx>
          <c:spPr>
            <a:solidFill>
              <a:schemeClr val="bg2">
                <a:lumMod val="25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Op Avg Dist</c:v>
              </c:pt>
              <c:pt idx="1">
                <c:v>Op Sdev</c:v>
              </c:pt>
              <c:pt idx="2">
                <c:v>Op Error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'Opus 4.8'!$L$10:$L$14</c15:sqref>
                  </c15:fullRef>
                </c:ext>
              </c:extLst>
              <c:f>('Opus 4.8'!$L$10,'Opus 4.8'!$L$12,'Opus 4.8'!$L$14)</c:f>
              <c:numCache>
                <c:formatCode>0</c:formatCode>
                <c:ptCount val="3"/>
                <c:pt idx="0">
                  <c:v>20</c:v>
                </c:pt>
                <c:pt idx="1">
                  <c:v>6.4420493633625631</c:v>
                </c:pt>
                <c:pt idx="2">
                  <c:v>-10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74-4A69-A463-6BB851228953}"/>
            </c:ext>
          </c:extLst>
        </c:ser>
        <c:ser>
          <c:idx val="10"/>
          <c:order val="10"/>
          <c:tx>
            <c:strRef>
              <c:f>'Opus 4.8'!$M$3</c:f>
              <c:strCache>
                <c:ptCount val="1"/>
                <c:pt idx="0">
                  <c:v>10 SE v2</c:v>
                </c:pt>
              </c:strCache>
            </c:strRef>
          </c:tx>
          <c:spPr>
            <a:solidFill>
              <a:schemeClr val="bg2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Op Avg Dist</c:v>
              </c:pt>
              <c:pt idx="1">
                <c:v>Op Sdev</c:v>
              </c:pt>
              <c:pt idx="2">
                <c:v>Op Error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'Opus 4.8'!$M$10:$M$14</c15:sqref>
                  </c15:fullRef>
                </c:ext>
              </c:extLst>
              <c:f>('Opus 4.8'!$M$10,'Opus 4.8'!$M$12,'Opus 4.8'!$M$14)</c:f>
              <c:numCache>
                <c:formatCode>0</c:formatCode>
                <c:ptCount val="3"/>
                <c:pt idx="0">
                  <c:v>35.6</c:v>
                </c:pt>
                <c:pt idx="1">
                  <c:v>0.54772255750516607</c:v>
                </c:pt>
                <c:pt idx="2">
                  <c:v>1.6000000000000014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55-45E6-AB63-2166D66E13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3320239"/>
        <c:axId val="83323119"/>
      </c:barChart>
      <c:catAx>
        <c:axId val="833202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323119"/>
        <c:crosses val="autoZero"/>
        <c:auto val="1"/>
        <c:lblAlgn val="ctr"/>
        <c:lblOffset val="100"/>
        <c:noMultiLvlLbl val="0"/>
      </c:catAx>
      <c:valAx>
        <c:axId val="833231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3202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'Opus 4.8'!$C$3</c:f>
              <c:strCache>
                <c:ptCount val="1"/>
                <c:pt idx="0">
                  <c:v>4 SE v0</c:v>
                </c:pt>
              </c:strCache>
            </c:strRef>
          </c:tx>
          <c:spPr>
            <a:ln w="19050">
              <a:solidFill>
                <a:schemeClr val="accent6"/>
              </a:solidFill>
            </a:ln>
          </c:spPr>
          <c:marker>
            <c:symbol val="none"/>
          </c:marker>
          <c:cat>
            <c:strRef>
              <c:f>'Opus 4.8'!$B$16:$B$29</c:f>
              <c:strCache>
                <c:ptCount val="1"/>
                <c:pt idx="0">
                  <c:v>All Runs</c:v>
                </c:pt>
              </c:strCache>
            </c:strRef>
          </c:cat>
          <c:val>
            <c:numRef>
              <c:f>'Opus 4.8'!$C$16:$C$29</c:f>
              <c:numCache>
                <c:formatCode>General</c:formatCode>
                <c:ptCount val="14"/>
                <c:pt idx="2">
                  <c:v>314</c:v>
                </c:pt>
                <c:pt idx="3">
                  <c:v>359</c:v>
                </c:pt>
                <c:pt idx="4">
                  <c:v>641</c:v>
                </c:pt>
                <c:pt idx="5">
                  <c:v>409</c:v>
                </c:pt>
                <c:pt idx="6">
                  <c:v>366</c:v>
                </c:pt>
                <c:pt idx="7">
                  <c:v>469</c:v>
                </c:pt>
                <c:pt idx="8">
                  <c:v>173</c:v>
                </c:pt>
                <c:pt idx="9">
                  <c:v>197</c:v>
                </c:pt>
                <c:pt idx="10">
                  <c:v>171</c:v>
                </c:pt>
                <c:pt idx="11">
                  <c:v>198</c:v>
                </c:pt>
                <c:pt idx="12">
                  <c:v>196</c:v>
                </c:pt>
                <c:pt idx="13">
                  <c:v>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8D7E-4F84-BBD3-152429E7606B}"/>
            </c:ext>
          </c:extLst>
        </c:ser>
        <c:ser>
          <c:idx val="2"/>
          <c:order val="1"/>
          <c:tx>
            <c:strRef>
              <c:f>'Opus 4.8'!$E$3</c:f>
              <c:strCache>
                <c:ptCount val="1"/>
                <c:pt idx="0">
                  <c:v>5 SE v1</c:v>
                </c:pt>
              </c:strCache>
            </c:strRef>
          </c:tx>
          <c:spPr>
            <a:ln w="19050">
              <a:solidFill>
                <a:schemeClr val="accent1">
                  <a:lumMod val="60000"/>
                  <a:lumOff val="40000"/>
                </a:schemeClr>
              </a:solidFill>
            </a:ln>
          </c:spPr>
          <c:marker>
            <c:symbol val="none"/>
          </c:marker>
          <c:cat>
            <c:strRef>
              <c:f>'Opus 4.8'!$B$16:$B$29</c:f>
              <c:strCache>
                <c:ptCount val="1"/>
                <c:pt idx="0">
                  <c:v>All Runs</c:v>
                </c:pt>
              </c:strCache>
            </c:strRef>
          </c:cat>
          <c:val>
            <c:numRef>
              <c:f>'Opus 4.8'!$E$16:$E$29</c:f>
              <c:numCache>
                <c:formatCode>General</c:formatCode>
                <c:ptCount val="14"/>
                <c:pt idx="1">
                  <c:v>442</c:v>
                </c:pt>
                <c:pt idx="2">
                  <c:v>689</c:v>
                </c:pt>
                <c:pt idx="3">
                  <c:v>479</c:v>
                </c:pt>
                <c:pt idx="4">
                  <c:v>264</c:v>
                </c:pt>
                <c:pt idx="5">
                  <c:v>74</c:v>
                </c:pt>
                <c:pt idx="6">
                  <c:v>72</c:v>
                </c:pt>
                <c:pt idx="7">
                  <c:v>71</c:v>
                </c:pt>
                <c:pt idx="8">
                  <c:v>62</c:v>
                </c:pt>
                <c:pt idx="9">
                  <c:v>72</c:v>
                </c:pt>
                <c:pt idx="10">
                  <c:v>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8D7E-4F84-BBD3-152429E7606B}"/>
            </c:ext>
          </c:extLst>
        </c:ser>
        <c:ser>
          <c:idx val="4"/>
          <c:order val="2"/>
          <c:tx>
            <c:strRef>
              <c:f>'Opus 4.8'!$G$3</c:f>
              <c:strCache>
                <c:ptCount val="1"/>
                <c:pt idx="0">
                  <c:v>6 SE v1</c:v>
                </c:pt>
              </c:strCache>
            </c:strRef>
          </c:tx>
          <c:spPr>
            <a:ln w="19050">
              <a:solidFill>
                <a:schemeClr val="accent4">
                  <a:lumMod val="75000"/>
                </a:schemeClr>
              </a:solidFill>
            </a:ln>
          </c:spPr>
          <c:marker>
            <c:symbol val="none"/>
          </c:marker>
          <c:cat>
            <c:strRef>
              <c:f>'Opus 4.8'!$B$16:$B$29</c:f>
              <c:strCache>
                <c:ptCount val="1"/>
                <c:pt idx="0">
                  <c:v>All Runs</c:v>
                </c:pt>
              </c:strCache>
            </c:strRef>
          </c:cat>
          <c:val>
            <c:numRef>
              <c:f>'Opus 4.8'!$G$16:$G$29</c:f>
              <c:numCache>
                <c:formatCode>General</c:formatCode>
                <c:ptCount val="14"/>
                <c:pt idx="0">
                  <c:v>533</c:v>
                </c:pt>
                <c:pt idx="1">
                  <c:v>498</c:v>
                </c:pt>
                <c:pt idx="2">
                  <c:v>530</c:v>
                </c:pt>
                <c:pt idx="3">
                  <c:v>138</c:v>
                </c:pt>
                <c:pt idx="4">
                  <c:v>148</c:v>
                </c:pt>
                <c:pt idx="5">
                  <c:v>157</c:v>
                </c:pt>
                <c:pt idx="6">
                  <c:v>135</c:v>
                </c:pt>
                <c:pt idx="7">
                  <c:v>145</c:v>
                </c:pt>
                <c:pt idx="8">
                  <c:v>147</c:v>
                </c:pt>
                <c:pt idx="9">
                  <c:v>156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8D7E-4F84-BBD3-152429E7606B}"/>
            </c:ext>
          </c:extLst>
        </c:ser>
        <c:ser>
          <c:idx val="1"/>
          <c:order val="3"/>
          <c:tx>
            <c:strRef>
              <c:f>'Opus 4.8'!$I$3</c:f>
              <c:strCache>
                <c:ptCount val="1"/>
                <c:pt idx="0">
                  <c:v>7 SE v2</c:v>
                </c:pt>
              </c:strCache>
            </c:strRef>
          </c:tx>
          <c:spPr>
            <a:ln w="19050">
              <a:solidFill>
                <a:schemeClr val="accent5">
                  <a:lumMod val="75000"/>
                </a:schemeClr>
              </a:solidFill>
            </a:ln>
          </c:spPr>
          <c:marker>
            <c:symbol val="none"/>
          </c:marker>
          <c:val>
            <c:numRef>
              <c:f>'Opus 4.8'!$I$16:$I$29</c:f>
              <c:numCache>
                <c:formatCode>General</c:formatCode>
                <c:ptCount val="14"/>
                <c:pt idx="1">
                  <c:v>196</c:v>
                </c:pt>
                <c:pt idx="2">
                  <c:v>113</c:v>
                </c:pt>
                <c:pt idx="3">
                  <c:v>138</c:v>
                </c:pt>
                <c:pt idx="4">
                  <c:v>28</c:v>
                </c:pt>
                <c:pt idx="5">
                  <c:v>46</c:v>
                </c:pt>
                <c:pt idx="6">
                  <c:v>46</c:v>
                </c:pt>
                <c:pt idx="7">
                  <c:v>45</c:v>
                </c:pt>
                <c:pt idx="8">
                  <c:v>32</c:v>
                </c:pt>
                <c:pt idx="9">
                  <c:v>51</c:v>
                </c:pt>
                <c:pt idx="10">
                  <c:v>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C96-4787-83E0-51DC73D3E7C2}"/>
            </c:ext>
          </c:extLst>
        </c:ser>
        <c:ser>
          <c:idx val="3"/>
          <c:order val="4"/>
          <c:tx>
            <c:strRef>
              <c:f>'Opus 4.8'!$K$3</c:f>
              <c:strCache>
                <c:ptCount val="1"/>
                <c:pt idx="0">
                  <c:v>8 SE v2</c:v>
                </c:pt>
              </c:strCache>
            </c:strRef>
          </c:tx>
          <c:spPr>
            <a:ln w="19050">
              <a:solidFill>
                <a:schemeClr val="tx2"/>
              </a:solidFill>
            </a:ln>
          </c:spPr>
          <c:marker>
            <c:symbol val="none"/>
          </c:marker>
          <c:val>
            <c:numRef>
              <c:f>'Opus 4.8'!$K$16:$K$29</c:f>
              <c:numCache>
                <c:formatCode>General</c:formatCode>
                <c:ptCount val="14"/>
                <c:pt idx="0">
                  <c:v>515</c:v>
                </c:pt>
                <c:pt idx="1">
                  <c:v>522</c:v>
                </c:pt>
                <c:pt idx="2">
                  <c:v>513</c:v>
                </c:pt>
                <c:pt idx="3">
                  <c:v>542</c:v>
                </c:pt>
                <c:pt idx="4">
                  <c:v>33</c:v>
                </c:pt>
                <c:pt idx="5">
                  <c:v>31</c:v>
                </c:pt>
                <c:pt idx="6">
                  <c:v>47</c:v>
                </c:pt>
                <c:pt idx="7">
                  <c:v>50</c:v>
                </c:pt>
                <c:pt idx="8">
                  <c:v>41</c:v>
                </c:pt>
                <c:pt idx="9">
                  <c:v>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3A0-4E10-8A4A-E849A2DB9629}"/>
            </c:ext>
          </c:extLst>
        </c:ser>
        <c:ser>
          <c:idx val="5"/>
          <c:order val="5"/>
          <c:tx>
            <c:strRef>
              <c:f>'Opus 4.8'!$L$3</c:f>
              <c:strCache>
                <c:ptCount val="1"/>
                <c:pt idx="0">
                  <c:v>9 SE v2</c:v>
                </c:pt>
              </c:strCache>
            </c:strRef>
          </c:tx>
          <c:spPr>
            <a:ln w="19050">
              <a:solidFill>
                <a:schemeClr val="bg2">
                  <a:lumMod val="25000"/>
                </a:schemeClr>
              </a:solidFill>
            </a:ln>
          </c:spPr>
          <c:marker>
            <c:symbol val="none"/>
          </c:marker>
          <c:val>
            <c:numRef>
              <c:f>'Opus 4.8'!$L$16:$L$29</c:f>
              <c:numCache>
                <c:formatCode>General</c:formatCode>
                <c:ptCount val="14"/>
                <c:pt idx="1">
                  <c:v>321</c:v>
                </c:pt>
                <c:pt idx="2">
                  <c:v>232</c:v>
                </c:pt>
                <c:pt idx="3">
                  <c:v>122</c:v>
                </c:pt>
                <c:pt idx="4">
                  <c:v>43</c:v>
                </c:pt>
                <c:pt idx="5">
                  <c:v>19</c:v>
                </c:pt>
                <c:pt idx="6">
                  <c:v>22</c:v>
                </c:pt>
                <c:pt idx="7">
                  <c:v>14</c:v>
                </c:pt>
                <c:pt idx="8">
                  <c:v>30</c:v>
                </c:pt>
                <c:pt idx="9">
                  <c:v>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12E-4E1F-A93F-6DD257501A99}"/>
            </c:ext>
          </c:extLst>
        </c:ser>
        <c:ser>
          <c:idx val="6"/>
          <c:order val="6"/>
          <c:tx>
            <c:strRef>
              <c:f>'Opus 4.8'!$M$3</c:f>
              <c:strCache>
                <c:ptCount val="1"/>
                <c:pt idx="0">
                  <c:v>10 SE v2</c:v>
                </c:pt>
              </c:strCache>
            </c:strRef>
          </c:tx>
          <c:spPr>
            <a:ln w="19050"/>
          </c:spPr>
          <c:marker>
            <c:symbol val="none"/>
          </c:marker>
          <c:val>
            <c:numRef>
              <c:f>'Opus 4.8'!$M$16:$M$29</c:f>
              <c:numCache>
                <c:formatCode>General</c:formatCode>
                <c:ptCount val="14"/>
                <c:pt idx="1">
                  <c:v>374</c:v>
                </c:pt>
                <c:pt idx="2">
                  <c:v>184</c:v>
                </c:pt>
                <c:pt idx="3">
                  <c:v>167</c:v>
                </c:pt>
                <c:pt idx="4">
                  <c:v>166</c:v>
                </c:pt>
                <c:pt idx="5">
                  <c:v>35</c:v>
                </c:pt>
                <c:pt idx="6">
                  <c:v>36</c:v>
                </c:pt>
                <c:pt idx="7">
                  <c:v>35</c:v>
                </c:pt>
                <c:pt idx="8">
                  <c:v>36</c:v>
                </c:pt>
                <c:pt idx="9">
                  <c:v>36</c:v>
                </c:pt>
                <c:pt idx="10">
                  <c:v>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B54-44E9-BF4B-E1FB13D4B0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30609439"/>
        <c:axId val="1430609919"/>
      </c:lineChart>
      <c:catAx>
        <c:axId val="14306094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0609919"/>
        <c:crosses val="autoZero"/>
        <c:auto val="1"/>
        <c:lblAlgn val="ctr"/>
        <c:lblOffset val="100"/>
        <c:tickMarkSkip val="1"/>
        <c:noMultiLvlLbl val="0"/>
      </c:catAx>
      <c:valAx>
        <c:axId val="1430609919"/>
        <c:scaling>
          <c:orientation val="minMax"/>
          <c:max val="9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Distance</a:t>
                </a:r>
                <a:r>
                  <a:rPr lang="en-US" baseline="0"/>
                  <a:t> to wall (mm)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0609439"/>
        <c:crosses val="autoZero"/>
        <c:crossBetween val="between"/>
      </c:valAx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3"/>
          <c:order val="0"/>
          <c:tx>
            <c:strRef>
              <c:f>'Opus 4.8'!$D$3</c:f>
              <c:strCache>
                <c:ptCount val="1"/>
                <c:pt idx="0">
                  <c:v>4 Freestyle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'Opus 4.8'!$B$16:$B$29</c:f>
              <c:strCache>
                <c:ptCount val="1"/>
                <c:pt idx="0">
                  <c:v>All Runs</c:v>
                </c:pt>
              </c:strCache>
            </c:strRef>
          </c:cat>
          <c:val>
            <c:numRef>
              <c:f>'Opus 4.8'!$D$16:$D$29</c:f>
              <c:numCache>
                <c:formatCode>General</c:formatCode>
                <c:ptCount val="14"/>
                <c:pt idx="5">
                  <c:v>395</c:v>
                </c:pt>
                <c:pt idx="6">
                  <c:v>33</c:v>
                </c:pt>
                <c:pt idx="7">
                  <c:v>38</c:v>
                </c:pt>
                <c:pt idx="8">
                  <c:v>99</c:v>
                </c:pt>
                <c:pt idx="9">
                  <c:v>87</c:v>
                </c:pt>
                <c:pt idx="10">
                  <c:v>95</c:v>
                </c:pt>
                <c:pt idx="11">
                  <c:v>81</c:v>
                </c:pt>
                <c:pt idx="12">
                  <c:v>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7F1F-4544-A3B9-23B6184D29A5}"/>
            </c:ext>
          </c:extLst>
        </c:ser>
        <c:ser>
          <c:idx val="5"/>
          <c:order val="1"/>
          <c:tx>
            <c:strRef>
              <c:f>'Opus 4.8'!$F$3</c:f>
              <c:strCache>
                <c:ptCount val="1"/>
                <c:pt idx="0">
                  <c:v>5 Freestyle</c:v>
                </c:pt>
              </c:strCache>
            </c:strRef>
          </c:tx>
          <c:spPr>
            <a:ln w="19050" cap="rnd">
              <a:solidFill>
                <a:schemeClr val="accent2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'Opus 4.8'!$B$16:$B$29</c:f>
              <c:strCache>
                <c:ptCount val="1"/>
                <c:pt idx="0">
                  <c:v>All Runs</c:v>
                </c:pt>
              </c:strCache>
            </c:strRef>
          </c:cat>
          <c:val>
            <c:numRef>
              <c:f>'Opus 4.8'!$F$16:$F$29</c:f>
              <c:numCache>
                <c:formatCode>General</c:formatCode>
                <c:ptCount val="14"/>
                <c:pt idx="1">
                  <c:v>228</c:v>
                </c:pt>
                <c:pt idx="2">
                  <c:v>78</c:v>
                </c:pt>
                <c:pt idx="3">
                  <c:v>191</c:v>
                </c:pt>
                <c:pt idx="4">
                  <c:v>178</c:v>
                </c:pt>
                <c:pt idx="5">
                  <c:v>201</c:v>
                </c:pt>
                <c:pt idx="6">
                  <c:v>193</c:v>
                </c:pt>
                <c:pt idx="7">
                  <c:v>257</c:v>
                </c:pt>
                <c:pt idx="8">
                  <c:v>183</c:v>
                </c:pt>
                <c:pt idx="9">
                  <c:v>256</c:v>
                </c:pt>
                <c:pt idx="10">
                  <c:v>180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7F1F-4544-A3B9-23B6184D29A5}"/>
            </c:ext>
          </c:extLst>
        </c:ser>
        <c:ser>
          <c:idx val="6"/>
          <c:order val="2"/>
          <c:tx>
            <c:strRef>
              <c:f>'Opus 4.8'!$H$3</c:f>
              <c:strCache>
                <c:ptCount val="1"/>
                <c:pt idx="0">
                  <c:v>6 Freestyle</c:v>
                </c:pt>
              </c:strCache>
            </c:strRef>
          </c:tx>
          <c:spPr>
            <a:ln w="19050">
              <a:solidFill>
                <a:srgbClr val="C00000"/>
              </a:solidFill>
            </a:ln>
          </c:spPr>
          <c:marker>
            <c:symbol val="none"/>
          </c:marker>
          <c:cat>
            <c:strRef>
              <c:f>'Opus 4.8'!$B$16:$B$29</c:f>
              <c:strCache>
                <c:ptCount val="1"/>
                <c:pt idx="0">
                  <c:v>All Runs</c:v>
                </c:pt>
              </c:strCache>
            </c:strRef>
          </c:cat>
          <c:val>
            <c:numRef>
              <c:f>'Opus 4.8'!$H$16:$H$29</c:f>
              <c:numCache>
                <c:formatCode>General</c:formatCode>
                <c:ptCount val="14"/>
                <c:pt idx="2">
                  <c:v>421</c:v>
                </c:pt>
                <c:pt idx="3">
                  <c:v>224</c:v>
                </c:pt>
                <c:pt idx="4">
                  <c:v>809</c:v>
                </c:pt>
                <c:pt idx="5">
                  <c:v>129</c:v>
                </c:pt>
                <c:pt idx="6">
                  <c:v>39</c:v>
                </c:pt>
                <c:pt idx="7">
                  <c:v>49</c:v>
                </c:pt>
                <c:pt idx="8">
                  <c:v>239</c:v>
                </c:pt>
                <c:pt idx="9">
                  <c:v>248</c:v>
                </c:pt>
                <c:pt idx="10">
                  <c:v>262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7F1F-4544-A3B9-23B6184D29A5}"/>
            </c:ext>
          </c:extLst>
        </c:ser>
        <c:ser>
          <c:idx val="0"/>
          <c:order val="3"/>
          <c:tx>
            <c:strRef>
              <c:f>'Opus 4.8'!$J$3</c:f>
              <c:strCache>
                <c:ptCount val="1"/>
                <c:pt idx="0">
                  <c:v>7 Freestyle</c:v>
                </c:pt>
              </c:strCache>
            </c:strRef>
          </c:tx>
          <c:spPr>
            <a:ln w="19050">
              <a:solidFill>
                <a:srgbClr val="994010"/>
              </a:solidFill>
            </a:ln>
          </c:spPr>
          <c:marker>
            <c:symbol val="none"/>
          </c:marker>
          <c:val>
            <c:numRef>
              <c:f>'Opus 4.8'!$J$16:$J$29</c:f>
              <c:numCache>
                <c:formatCode>General</c:formatCode>
                <c:ptCount val="14"/>
                <c:pt idx="2">
                  <c:v>345</c:v>
                </c:pt>
                <c:pt idx="3">
                  <c:v>338</c:v>
                </c:pt>
                <c:pt idx="4">
                  <c:v>212</c:v>
                </c:pt>
                <c:pt idx="5">
                  <c:v>153</c:v>
                </c:pt>
                <c:pt idx="6">
                  <c:v>184</c:v>
                </c:pt>
                <c:pt idx="7">
                  <c:v>176</c:v>
                </c:pt>
                <c:pt idx="8">
                  <c:v>179</c:v>
                </c:pt>
                <c:pt idx="9">
                  <c:v>185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C7A-4D7E-8C23-20D23D40DE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30609439"/>
        <c:axId val="1430609919"/>
      </c:lineChart>
      <c:catAx>
        <c:axId val="14306094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0609919"/>
        <c:crosses val="autoZero"/>
        <c:auto val="1"/>
        <c:lblAlgn val="ctr"/>
        <c:lblOffset val="100"/>
        <c:tickMarkSkip val="1"/>
        <c:noMultiLvlLbl val="0"/>
      </c:catAx>
      <c:valAx>
        <c:axId val="1430609919"/>
        <c:scaling>
          <c:orientation val="minMax"/>
          <c:max val="9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Distance</a:t>
                </a:r>
                <a:r>
                  <a:rPr lang="en-US" baseline="0"/>
                  <a:t> to wall (mm)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0609439"/>
        <c:crosses val="autoZero"/>
        <c:crossBetween val="between"/>
      </c:valAx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8"/>
          <c:order val="0"/>
          <c:tx>
            <c:strRef>
              <c:f>'Opus 4.8'!$D$3</c:f>
              <c:strCache>
                <c:ptCount val="1"/>
                <c:pt idx="0">
                  <c:v>4 Freestyle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'Opus 4.8'!$B$31</c:f>
              <c:strCache>
                <c:ptCount val="1"/>
                <c:pt idx="0">
                  <c:v>Operational Runs</c:v>
                </c:pt>
              </c:strCache>
            </c:strRef>
          </c:cat>
          <c:val>
            <c:numRef>
              <c:f>'Opus 4.8'!$D$31:$D$44</c:f>
              <c:numCache>
                <c:formatCode>General</c:formatCode>
                <c:ptCount val="14"/>
                <c:pt idx="8">
                  <c:v>99</c:v>
                </c:pt>
                <c:pt idx="9">
                  <c:v>87</c:v>
                </c:pt>
                <c:pt idx="10">
                  <c:v>95</c:v>
                </c:pt>
                <c:pt idx="11">
                  <c:v>81</c:v>
                </c:pt>
                <c:pt idx="12">
                  <c:v>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B1FF-4D4B-80A3-ACE12560F529}"/>
            </c:ext>
          </c:extLst>
        </c:ser>
        <c:ser>
          <c:idx val="9"/>
          <c:order val="1"/>
          <c:tx>
            <c:strRef>
              <c:f>'Opus 4.8'!$F$3</c:f>
              <c:strCache>
                <c:ptCount val="1"/>
                <c:pt idx="0">
                  <c:v>5 Freestyle</c:v>
                </c:pt>
              </c:strCache>
            </c:strRef>
          </c:tx>
          <c:spPr>
            <a:ln w="19050" cap="rnd">
              <a:solidFill>
                <a:schemeClr val="accent2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'Opus 4.8'!$B$31</c:f>
              <c:strCache>
                <c:ptCount val="1"/>
                <c:pt idx="0">
                  <c:v>Operational Runs</c:v>
                </c:pt>
              </c:strCache>
            </c:strRef>
          </c:cat>
          <c:val>
            <c:numRef>
              <c:f>'Opus 4.8'!$F$31:$F$44</c:f>
              <c:numCache>
                <c:formatCode>General</c:formatCode>
                <c:ptCount val="14"/>
                <c:pt idx="6">
                  <c:v>193</c:v>
                </c:pt>
                <c:pt idx="7">
                  <c:v>257</c:v>
                </c:pt>
                <c:pt idx="8">
                  <c:v>183</c:v>
                </c:pt>
                <c:pt idx="9">
                  <c:v>256</c:v>
                </c:pt>
                <c:pt idx="10">
                  <c:v>180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B1FF-4D4B-80A3-ACE12560F529}"/>
            </c:ext>
          </c:extLst>
        </c:ser>
        <c:ser>
          <c:idx val="10"/>
          <c:order val="2"/>
          <c:tx>
            <c:strRef>
              <c:f>'Opus 4.8'!$H$3</c:f>
              <c:strCache>
                <c:ptCount val="1"/>
                <c:pt idx="0">
                  <c:v>6 Freestyle</c:v>
                </c:pt>
              </c:strCache>
            </c:strRef>
          </c:tx>
          <c:spPr>
            <a:ln w="19050">
              <a:solidFill>
                <a:srgbClr val="C00000"/>
              </a:solidFill>
            </a:ln>
          </c:spPr>
          <c:marker>
            <c:symbol val="none"/>
          </c:marker>
          <c:cat>
            <c:strRef>
              <c:f>'Opus 4.8'!$B$31</c:f>
              <c:strCache>
                <c:ptCount val="1"/>
                <c:pt idx="0">
                  <c:v>Operational Runs</c:v>
                </c:pt>
              </c:strCache>
            </c:strRef>
          </c:cat>
          <c:val>
            <c:numRef>
              <c:f>'Opus 4.8'!$H$31:$H$44</c:f>
              <c:numCache>
                <c:formatCode>General</c:formatCode>
                <c:ptCount val="14"/>
                <c:pt idx="6">
                  <c:v>39</c:v>
                </c:pt>
                <c:pt idx="7">
                  <c:v>49</c:v>
                </c:pt>
                <c:pt idx="8">
                  <c:v>239</c:v>
                </c:pt>
                <c:pt idx="9">
                  <c:v>248</c:v>
                </c:pt>
                <c:pt idx="10">
                  <c:v>262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B1FF-4D4B-80A3-ACE12560F529}"/>
            </c:ext>
          </c:extLst>
        </c:ser>
        <c:ser>
          <c:idx val="0"/>
          <c:order val="3"/>
          <c:tx>
            <c:strRef>
              <c:f>'Opus 4.8'!$J$3</c:f>
              <c:strCache>
                <c:ptCount val="1"/>
                <c:pt idx="0">
                  <c:v>7 Freestyle</c:v>
                </c:pt>
              </c:strCache>
            </c:strRef>
          </c:tx>
          <c:spPr>
            <a:ln w="19050">
              <a:solidFill>
                <a:srgbClr val="994010"/>
              </a:solidFill>
            </a:ln>
          </c:spPr>
          <c:marker>
            <c:symbol val="none"/>
          </c:marker>
          <c:cat>
            <c:strRef>
              <c:f>'Opus 4.8'!$B$31</c:f>
              <c:strCache>
                <c:ptCount val="1"/>
                <c:pt idx="0">
                  <c:v>Operational Runs</c:v>
                </c:pt>
              </c:strCache>
            </c:strRef>
          </c:cat>
          <c:val>
            <c:numRef>
              <c:f>'Opus 4.8'!$J$31:$J$44</c:f>
              <c:numCache>
                <c:formatCode>General</c:formatCode>
                <c:ptCount val="14"/>
                <c:pt idx="5">
                  <c:v>153</c:v>
                </c:pt>
                <c:pt idx="6">
                  <c:v>184</c:v>
                </c:pt>
                <c:pt idx="7">
                  <c:v>176</c:v>
                </c:pt>
                <c:pt idx="8">
                  <c:v>179</c:v>
                </c:pt>
                <c:pt idx="9">
                  <c:v>185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B1FF-4D4B-80A3-ACE12560F529}"/>
            </c:ext>
          </c:extLst>
        </c:ser>
        <c:ser>
          <c:idx val="1"/>
          <c:order val="4"/>
          <c:tx>
            <c:strRef>
              <c:f>'Opus 4.8'!$C$3</c:f>
              <c:strCache>
                <c:ptCount val="1"/>
                <c:pt idx="0">
                  <c:v>4 SE v0</c:v>
                </c:pt>
              </c:strCache>
            </c:strRef>
          </c:tx>
          <c:spPr>
            <a:ln w="19050">
              <a:solidFill>
                <a:schemeClr val="accent6"/>
              </a:solidFill>
            </a:ln>
          </c:spPr>
          <c:marker>
            <c:symbol val="none"/>
          </c:marker>
          <c:cat>
            <c:strRef>
              <c:f>'Opus 4.8'!$B$31</c:f>
              <c:strCache>
                <c:ptCount val="1"/>
                <c:pt idx="0">
                  <c:v>Operational Runs</c:v>
                </c:pt>
              </c:strCache>
            </c:strRef>
          </c:cat>
          <c:val>
            <c:numRef>
              <c:f>'Opus 4.8'!$C$31:$C$44</c:f>
              <c:numCache>
                <c:formatCode>General</c:formatCode>
                <c:ptCount val="14"/>
                <c:pt idx="9">
                  <c:v>197</c:v>
                </c:pt>
                <c:pt idx="10">
                  <c:v>171</c:v>
                </c:pt>
                <c:pt idx="11">
                  <c:v>198</c:v>
                </c:pt>
                <c:pt idx="12">
                  <c:v>196</c:v>
                </c:pt>
                <c:pt idx="13">
                  <c:v>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B1FF-4D4B-80A3-ACE12560F529}"/>
            </c:ext>
          </c:extLst>
        </c:ser>
        <c:ser>
          <c:idx val="2"/>
          <c:order val="5"/>
          <c:tx>
            <c:strRef>
              <c:f>'Opus 4.8'!$E$3</c:f>
              <c:strCache>
                <c:ptCount val="1"/>
                <c:pt idx="0">
                  <c:v>5 SE v1</c:v>
                </c:pt>
              </c:strCache>
            </c:strRef>
          </c:tx>
          <c:spPr>
            <a:ln w="19050">
              <a:solidFill>
                <a:schemeClr val="accent1">
                  <a:lumMod val="60000"/>
                  <a:lumOff val="40000"/>
                </a:schemeClr>
              </a:solidFill>
            </a:ln>
          </c:spPr>
          <c:marker>
            <c:symbol val="none"/>
          </c:marker>
          <c:cat>
            <c:strRef>
              <c:f>'Opus 4.8'!$B$31</c:f>
              <c:strCache>
                <c:ptCount val="1"/>
                <c:pt idx="0">
                  <c:v>Operational Runs</c:v>
                </c:pt>
              </c:strCache>
            </c:strRef>
          </c:cat>
          <c:val>
            <c:numRef>
              <c:f>'Opus 4.8'!$E$31:$E$44</c:f>
              <c:numCache>
                <c:formatCode>General</c:formatCode>
                <c:ptCount val="14"/>
                <c:pt idx="6">
                  <c:v>72</c:v>
                </c:pt>
                <c:pt idx="7">
                  <c:v>71</c:v>
                </c:pt>
                <c:pt idx="8">
                  <c:v>62</c:v>
                </c:pt>
                <c:pt idx="9">
                  <c:v>72</c:v>
                </c:pt>
                <c:pt idx="10">
                  <c:v>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B1FF-4D4B-80A3-ACE12560F529}"/>
            </c:ext>
          </c:extLst>
        </c:ser>
        <c:ser>
          <c:idx val="4"/>
          <c:order val="6"/>
          <c:tx>
            <c:strRef>
              <c:f>'Opus 4.8'!$G$3</c:f>
              <c:strCache>
                <c:ptCount val="1"/>
                <c:pt idx="0">
                  <c:v>6 SE v1</c:v>
                </c:pt>
              </c:strCache>
            </c:strRef>
          </c:tx>
          <c:spPr>
            <a:ln w="19050">
              <a:solidFill>
                <a:schemeClr val="accent4">
                  <a:lumMod val="75000"/>
                </a:schemeClr>
              </a:solidFill>
            </a:ln>
          </c:spPr>
          <c:marker>
            <c:symbol val="none"/>
          </c:marker>
          <c:cat>
            <c:strRef>
              <c:f>'Opus 4.8'!$B$31</c:f>
              <c:strCache>
                <c:ptCount val="1"/>
                <c:pt idx="0">
                  <c:v>Operational Runs</c:v>
                </c:pt>
              </c:strCache>
            </c:strRef>
          </c:cat>
          <c:val>
            <c:numRef>
              <c:f>'Opus 4.8'!$G$31:$G$44</c:f>
              <c:numCache>
                <c:formatCode>General</c:formatCode>
                <c:ptCount val="14"/>
                <c:pt idx="5">
                  <c:v>157</c:v>
                </c:pt>
                <c:pt idx="6">
                  <c:v>135</c:v>
                </c:pt>
                <c:pt idx="7">
                  <c:v>145</c:v>
                </c:pt>
                <c:pt idx="8">
                  <c:v>147</c:v>
                </c:pt>
                <c:pt idx="9">
                  <c:v>156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B1FF-4D4B-80A3-ACE12560F529}"/>
            </c:ext>
          </c:extLst>
        </c:ser>
        <c:ser>
          <c:idx val="7"/>
          <c:order val="7"/>
          <c:tx>
            <c:strRef>
              <c:f>'Opus 4.8'!$I$3</c:f>
              <c:strCache>
                <c:ptCount val="1"/>
                <c:pt idx="0">
                  <c:v>7 SE v2</c:v>
                </c:pt>
              </c:strCache>
            </c:strRef>
          </c:tx>
          <c:spPr>
            <a:ln w="19050">
              <a:solidFill>
                <a:schemeClr val="accent5">
                  <a:lumMod val="75000"/>
                </a:schemeClr>
              </a:solidFill>
            </a:ln>
          </c:spPr>
          <c:marker>
            <c:symbol val="none"/>
          </c:marker>
          <c:cat>
            <c:strRef>
              <c:f>'Opus 4.8'!$B$31</c:f>
              <c:strCache>
                <c:ptCount val="1"/>
                <c:pt idx="0">
                  <c:v>Operational Runs</c:v>
                </c:pt>
              </c:strCache>
            </c:strRef>
          </c:cat>
          <c:val>
            <c:numRef>
              <c:f>'Opus 4.8'!$I$31:$I$44</c:f>
              <c:numCache>
                <c:formatCode>General</c:formatCode>
                <c:ptCount val="14"/>
                <c:pt idx="6">
                  <c:v>46</c:v>
                </c:pt>
                <c:pt idx="7">
                  <c:v>45</c:v>
                </c:pt>
                <c:pt idx="8">
                  <c:v>32</c:v>
                </c:pt>
                <c:pt idx="9">
                  <c:v>51</c:v>
                </c:pt>
                <c:pt idx="10">
                  <c:v>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B1FF-4D4B-80A3-ACE12560F529}"/>
            </c:ext>
          </c:extLst>
        </c:ser>
        <c:ser>
          <c:idx val="3"/>
          <c:order val="8"/>
          <c:tx>
            <c:strRef>
              <c:f>'Opus 4.8'!$K$3</c:f>
              <c:strCache>
                <c:ptCount val="1"/>
                <c:pt idx="0">
                  <c:v>8 SE v2</c:v>
                </c:pt>
              </c:strCache>
            </c:strRef>
          </c:tx>
          <c:spPr>
            <a:ln w="19050">
              <a:solidFill>
                <a:schemeClr val="tx2"/>
              </a:solidFill>
            </a:ln>
          </c:spPr>
          <c:marker>
            <c:symbol val="none"/>
          </c:marker>
          <c:val>
            <c:numRef>
              <c:f>'Opus 4.8'!$K$31:$K$44</c:f>
              <c:numCache>
                <c:formatCode>General</c:formatCode>
                <c:ptCount val="14"/>
                <c:pt idx="5">
                  <c:v>31</c:v>
                </c:pt>
                <c:pt idx="6">
                  <c:v>47</c:v>
                </c:pt>
                <c:pt idx="7">
                  <c:v>50</c:v>
                </c:pt>
                <c:pt idx="8">
                  <c:v>41</c:v>
                </c:pt>
                <c:pt idx="9">
                  <c:v>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436-4951-A04D-A204DB22F441}"/>
            </c:ext>
          </c:extLst>
        </c:ser>
        <c:ser>
          <c:idx val="5"/>
          <c:order val="9"/>
          <c:tx>
            <c:strRef>
              <c:f>'Opus 4.8'!$L$3</c:f>
              <c:strCache>
                <c:ptCount val="1"/>
                <c:pt idx="0">
                  <c:v>9 SE v2</c:v>
                </c:pt>
              </c:strCache>
            </c:strRef>
          </c:tx>
          <c:spPr>
            <a:ln w="19050">
              <a:solidFill>
                <a:schemeClr val="bg2">
                  <a:lumMod val="25000"/>
                </a:schemeClr>
              </a:solidFill>
            </a:ln>
          </c:spPr>
          <c:marker>
            <c:symbol val="none"/>
          </c:marker>
          <c:val>
            <c:numRef>
              <c:f>'Opus 4.8'!$L$31:$L$44</c:f>
              <c:numCache>
                <c:formatCode>General</c:formatCode>
                <c:ptCount val="14"/>
                <c:pt idx="5">
                  <c:v>19</c:v>
                </c:pt>
                <c:pt idx="6">
                  <c:v>22</c:v>
                </c:pt>
                <c:pt idx="7">
                  <c:v>14</c:v>
                </c:pt>
                <c:pt idx="8">
                  <c:v>30</c:v>
                </c:pt>
                <c:pt idx="9">
                  <c:v>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1B9-4F21-BBBD-D1E8480DC0F8}"/>
            </c:ext>
          </c:extLst>
        </c:ser>
        <c:ser>
          <c:idx val="6"/>
          <c:order val="10"/>
          <c:tx>
            <c:strRef>
              <c:f>'Opus 4.8'!$M$3</c:f>
              <c:strCache>
                <c:ptCount val="1"/>
                <c:pt idx="0">
                  <c:v>10 SE v2</c:v>
                </c:pt>
              </c:strCache>
            </c:strRef>
          </c:tx>
          <c:spPr>
            <a:ln w="19050"/>
          </c:spPr>
          <c:marker>
            <c:symbol val="none"/>
          </c:marker>
          <c:val>
            <c:numRef>
              <c:f>'Opus 4.8'!$M$31:$M$44</c:f>
              <c:numCache>
                <c:formatCode>General</c:formatCode>
                <c:ptCount val="14"/>
                <c:pt idx="6">
                  <c:v>36</c:v>
                </c:pt>
                <c:pt idx="7">
                  <c:v>35</c:v>
                </c:pt>
                <c:pt idx="8">
                  <c:v>36</c:v>
                </c:pt>
                <c:pt idx="9">
                  <c:v>36</c:v>
                </c:pt>
                <c:pt idx="10">
                  <c:v>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B14-4007-95E0-15668A8337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30609439"/>
        <c:axId val="1430609919"/>
      </c:lineChart>
      <c:catAx>
        <c:axId val="14306094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0609919"/>
        <c:crosses val="autoZero"/>
        <c:auto val="1"/>
        <c:lblAlgn val="ctr"/>
        <c:lblOffset val="100"/>
        <c:tickMarkSkip val="1"/>
        <c:noMultiLvlLbl val="0"/>
      </c:catAx>
      <c:valAx>
        <c:axId val="1430609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Distance</a:t>
                </a:r>
                <a:r>
                  <a:rPr lang="en-US" baseline="0"/>
                  <a:t> to wall (mm)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0609439"/>
        <c:crosses val="autoZero"/>
        <c:crossBetween val="between"/>
      </c:valAx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6"/>
          <c:order val="0"/>
          <c:tx>
            <c:strRef>
              <c:f>'Opus 4.8'!$C$3</c:f>
              <c:strCache>
                <c:ptCount val="1"/>
                <c:pt idx="0">
                  <c:v>4 SE v0</c:v>
                </c:pt>
              </c:strCache>
            </c:strRef>
          </c:tx>
          <c:spPr>
            <a:ln w="19050">
              <a:solidFill>
                <a:schemeClr val="accent6"/>
              </a:solidFill>
            </a:ln>
          </c:spPr>
          <c:marker>
            <c:symbol val="none"/>
          </c:marker>
          <c:cat>
            <c:strRef>
              <c:f>'Opus 4.8'!$B$31</c:f>
              <c:strCache>
                <c:ptCount val="1"/>
                <c:pt idx="0">
                  <c:v>Operational Runs</c:v>
                </c:pt>
              </c:strCache>
            </c:strRef>
          </c:cat>
          <c:val>
            <c:numRef>
              <c:f>'Opus 4.8'!$C$31:$C$44</c:f>
              <c:numCache>
                <c:formatCode>General</c:formatCode>
                <c:ptCount val="14"/>
                <c:pt idx="9">
                  <c:v>197</c:v>
                </c:pt>
                <c:pt idx="10">
                  <c:v>171</c:v>
                </c:pt>
                <c:pt idx="11">
                  <c:v>198</c:v>
                </c:pt>
                <c:pt idx="12">
                  <c:v>196</c:v>
                </c:pt>
                <c:pt idx="13">
                  <c:v>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A6C0-4023-9A7E-0D1793622C78}"/>
            </c:ext>
          </c:extLst>
        </c:ser>
        <c:ser>
          <c:idx val="11"/>
          <c:order val="1"/>
          <c:tx>
            <c:strRef>
              <c:f>'Opus 4.8'!$E$3</c:f>
              <c:strCache>
                <c:ptCount val="1"/>
                <c:pt idx="0">
                  <c:v>5 SE v1</c:v>
                </c:pt>
              </c:strCache>
            </c:strRef>
          </c:tx>
          <c:spPr>
            <a:ln w="19050">
              <a:solidFill>
                <a:schemeClr val="accent1">
                  <a:lumMod val="60000"/>
                  <a:lumOff val="40000"/>
                </a:schemeClr>
              </a:solidFill>
            </a:ln>
          </c:spPr>
          <c:marker>
            <c:symbol val="none"/>
          </c:marker>
          <c:cat>
            <c:strRef>
              <c:f>'Opus 4.8'!$B$31</c:f>
              <c:strCache>
                <c:ptCount val="1"/>
                <c:pt idx="0">
                  <c:v>Operational Runs</c:v>
                </c:pt>
              </c:strCache>
            </c:strRef>
          </c:cat>
          <c:val>
            <c:numRef>
              <c:f>'Opus 4.8'!$E$31:$E$44</c:f>
              <c:numCache>
                <c:formatCode>General</c:formatCode>
                <c:ptCount val="14"/>
                <c:pt idx="6">
                  <c:v>72</c:v>
                </c:pt>
                <c:pt idx="7">
                  <c:v>71</c:v>
                </c:pt>
                <c:pt idx="8">
                  <c:v>62</c:v>
                </c:pt>
                <c:pt idx="9">
                  <c:v>72</c:v>
                </c:pt>
                <c:pt idx="10">
                  <c:v>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A6C0-4023-9A7E-0D1793622C78}"/>
            </c:ext>
          </c:extLst>
        </c:ser>
        <c:ser>
          <c:idx val="12"/>
          <c:order val="2"/>
          <c:tx>
            <c:strRef>
              <c:f>'Opus 4.8'!$G$3</c:f>
              <c:strCache>
                <c:ptCount val="1"/>
                <c:pt idx="0">
                  <c:v>6 SE v1</c:v>
                </c:pt>
              </c:strCache>
            </c:strRef>
          </c:tx>
          <c:spPr>
            <a:ln w="19050">
              <a:solidFill>
                <a:schemeClr val="accent4">
                  <a:lumMod val="75000"/>
                </a:schemeClr>
              </a:solidFill>
            </a:ln>
          </c:spPr>
          <c:marker>
            <c:symbol val="none"/>
          </c:marker>
          <c:cat>
            <c:strRef>
              <c:f>'Opus 4.8'!$B$31</c:f>
              <c:strCache>
                <c:ptCount val="1"/>
                <c:pt idx="0">
                  <c:v>Operational Runs</c:v>
                </c:pt>
              </c:strCache>
            </c:strRef>
          </c:cat>
          <c:val>
            <c:numRef>
              <c:f>'Opus 4.8'!$G$31:$G$44</c:f>
              <c:numCache>
                <c:formatCode>General</c:formatCode>
                <c:ptCount val="14"/>
                <c:pt idx="5">
                  <c:v>157</c:v>
                </c:pt>
                <c:pt idx="6">
                  <c:v>135</c:v>
                </c:pt>
                <c:pt idx="7">
                  <c:v>145</c:v>
                </c:pt>
                <c:pt idx="8">
                  <c:v>147</c:v>
                </c:pt>
                <c:pt idx="9">
                  <c:v>156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A6C0-4023-9A7E-0D1793622C78}"/>
            </c:ext>
          </c:extLst>
        </c:ser>
        <c:ser>
          <c:idx val="13"/>
          <c:order val="3"/>
          <c:tx>
            <c:strRef>
              <c:f>'Opus 4.8'!$I$3</c:f>
              <c:strCache>
                <c:ptCount val="1"/>
                <c:pt idx="0">
                  <c:v>7 SE v2</c:v>
                </c:pt>
              </c:strCache>
            </c:strRef>
          </c:tx>
          <c:spPr>
            <a:ln w="19050">
              <a:solidFill>
                <a:schemeClr val="accent5">
                  <a:lumMod val="75000"/>
                </a:schemeClr>
              </a:solidFill>
            </a:ln>
          </c:spPr>
          <c:marker>
            <c:symbol val="none"/>
          </c:marker>
          <c:cat>
            <c:strRef>
              <c:f>'Opus 4.8'!$B$31</c:f>
              <c:strCache>
                <c:ptCount val="1"/>
                <c:pt idx="0">
                  <c:v>Operational Runs</c:v>
                </c:pt>
              </c:strCache>
            </c:strRef>
          </c:cat>
          <c:val>
            <c:numRef>
              <c:f>'Opus 4.8'!$I$31:$I$44</c:f>
              <c:numCache>
                <c:formatCode>General</c:formatCode>
                <c:ptCount val="14"/>
                <c:pt idx="6">
                  <c:v>46</c:v>
                </c:pt>
                <c:pt idx="7">
                  <c:v>45</c:v>
                </c:pt>
                <c:pt idx="8">
                  <c:v>32</c:v>
                </c:pt>
                <c:pt idx="9">
                  <c:v>51</c:v>
                </c:pt>
                <c:pt idx="10">
                  <c:v>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A6C0-4023-9A7E-0D1793622C78}"/>
            </c:ext>
          </c:extLst>
        </c:ser>
        <c:ser>
          <c:idx val="14"/>
          <c:order val="4"/>
          <c:tx>
            <c:strRef>
              <c:f>'Opus 4.8'!$K$3</c:f>
              <c:strCache>
                <c:ptCount val="1"/>
                <c:pt idx="0">
                  <c:v>8 SE v2</c:v>
                </c:pt>
              </c:strCache>
            </c:strRef>
          </c:tx>
          <c:spPr>
            <a:ln w="19050">
              <a:solidFill>
                <a:schemeClr val="tx2"/>
              </a:solidFill>
            </a:ln>
          </c:spPr>
          <c:marker>
            <c:symbol val="none"/>
          </c:marker>
          <c:val>
            <c:numRef>
              <c:f>'Opus 4.8'!$K$31:$K$44</c:f>
              <c:numCache>
                <c:formatCode>General</c:formatCode>
                <c:ptCount val="14"/>
                <c:pt idx="5">
                  <c:v>31</c:v>
                </c:pt>
                <c:pt idx="6">
                  <c:v>47</c:v>
                </c:pt>
                <c:pt idx="7">
                  <c:v>50</c:v>
                </c:pt>
                <c:pt idx="8">
                  <c:v>41</c:v>
                </c:pt>
                <c:pt idx="9">
                  <c:v>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A6C0-4023-9A7E-0D1793622C78}"/>
            </c:ext>
          </c:extLst>
        </c:ser>
        <c:ser>
          <c:idx val="5"/>
          <c:order val="5"/>
          <c:tx>
            <c:strRef>
              <c:f>'Opus 4.8'!$L$3</c:f>
              <c:strCache>
                <c:ptCount val="1"/>
                <c:pt idx="0">
                  <c:v>9 SE v2</c:v>
                </c:pt>
              </c:strCache>
            </c:strRef>
          </c:tx>
          <c:spPr>
            <a:ln w="19050">
              <a:solidFill>
                <a:schemeClr val="bg2">
                  <a:lumMod val="25000"/>
                </a:schemeClr>
              </a:solidFill>
            </a:ln>
          </c:spPr>
          <c:marker>
            <c:symbol val="none"/>
          </c:marker>
          <c:val>
            <c:numRef>
              <c:f>'Opus 4.8'!$L$31:$L$44</c:f>
              <c:numCache>
                <c:formatCode>General</c:formatCode>
                <c:ptCount val="14"/>
                <c:pt idx="5">
                  <c:v>19</c:v>
                </c:pt>
                <c:pt idx="6">
                  <c:v>22</c:v>
                </c:pt>
                <c:pt idx="7">
                  <c:v>14</c:v>
                </c:pt>
                <c:pt idx="8">
                  <c:v>30</c:v>
                </c:pt>
                <c:pt idx="9">
                  <c:v>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A6C0-4023-9A7E-0D1793622C78}"/>
            </c:ext>
          </c:extLst>
        </c:ser>
        <c:ser>
          <c:idx val="0"/>
          <c:order val="6"/>
          <c:tx>
            <c:strRef>
              <c:f>'Opus 4.8'!$M$3</c:f>
              <c:strCache>
                <c:ptCount val="1"/>
                <c:pt idx="0">
                  <c:v>10 SE v2</c:v>
                </c:pt>
              </c:strCache>
            </c:strRef>
          </c:tx>
          <c:spPr>
            <a:ln w="19050">
              <a:solidFill>
                <a:schemeClr val="bg2">
                  <a:lumMod val="50000"/>
                </a:schemeClr>
              </a:solidFill>
            </a:ln>
          </c:spPr>
          <c:marker>
            <c:symbol val="none"/>
          </c:marker>
          <c:val>
            <c:numRef>
              <c:f>'Opus 4.8'!$M$31:$M$44</c:f>
              <c:numCache>
                <c:formatCode>General</c:formatCode>
                <c:ptCount val="14"/>
                <c:pt idx="6">
                  <c:v>36</c:v>
                </c:pt>
                <c:pt idx="7">
                  <c:v>35</c:v>
                </c:pt>
                <c:pt idx="8">
                  <c:v>36</c:v>
                </c:pt>
                <c:pt idx="9">
                  <c:v>36</c:v>
                </c:pt>
                <c:pt idx="10">
                  <c:v>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11-4F26-970F-EBDF83349C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30609439"/>
        <c:axId val="1430609919"/>
      </c:lineChart>
      <c:catAx>
        <c:axId val="14306094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0609919"/>
        <c:crosses val="autoZero"/>
        <c:auto val="1"/>
        <c:lblAlgn val="ctr"/>
        <c:lblOffset val="100"/>
        <c:tickMarkSkip val="1"/>
        <c:noMultiLvlLbl val="0"/>
      </c:catAx>
      <c:valAx>
        <c:axId val="1430609919"/>
        <c:scaling>
          <c:orientation val="minMax"/>
          <c:max val="3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Distance</a:t>
                </a:r>
                <a:r>
                  <a:rPr lang="en-US" baseline="0"/>
                  <a:t> to wall (mm)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0609439"/>
        <c:crosses val="autoZero"/>
        <c:crossBetween val="between"/>
      </c:valAx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1"/>
          <c:order val="0"/>
          <c:tx>
            <c:strRef>
              <c:f>'Opus 4.8'!$D$3</c:f>
              <c:strCache>
                <c:ptCount val="1"/>
                <c:pt idx="0">
                  <c:v>4 Freestyle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'Opus 4.8'!$B$31</c:f>
              <c:strCache>
                <c:ptCount val="1"/>
                <c:pt idx="0">
                  <c:v>Operational Runs</c:v>
                </c:pt>
              </c:strCache>
            </c:strRef>
          </c:cat>
          <c:val>
            <c:numRef>
              <c:f>'Opus 4.8'!$D$31:$D$44</c:f>
              <c:numCache>
                <c:formatCode>General</c:formatCode>
                <c:ptCount val="14"/>
                <c:pt idx="8">
                  <c:v>99</c:v>
                </c:pt>
                <c:pt idx="9">
                  <c:v>87</c:v>
                </c:pt>
                <c:pt idx="10">
                  <c:v>95</c:v>
                </c:pt>
                <c:pt idx="11">
                  <c:v>81</c:v>
                </c:pt>
                <c:pt idx="12">
                  <c:v>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2A8B-4FCD-A936-58F370E83733}"/>
            </c:ext>
          </c:extLst>
        </c:ser>
        <c:ser>
          <c:idx val="12"/>
          <c:order val="1"/>
          <c:tx>
            <c:strRef>
              <c:f>'Opus 4.8'!$F$3</c:f>
              <c:strCache>
                <c:ptCount val="1"/>
                <c:pt idx="0">
                  <c:v>5 Freestyle</c:v>
                </c:pt>
              </c:strCache>
            </c:strRef>
          </c:tx>
          <c:spPr>
            <a:ln w="19050" cap="rnd">
              <a:solidFill>
                <a:schemeClr val="accent2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'Opus 4.8'!$B$31</c:f>
              <c:strCache>
                <c:ptCount val="1"/>
                <c:pt idx="0">
                  <c:v>Operational Runs</c:v>
                </c:pt>
              </c:strCache>
            </c:strRef>
          </c:cat>
          <c:val>
            <c:numRef>
              <c:f>'Opus 4.8'!$F$31:$F$44</c:f>
              <c:numCache>
                <c:formatCode>General</c:formatCode>
                <c:ptCount val="14"/>
                <c:pt idx="6">
                  <c:v>193</c:v>
                </c:pt>
                <c:pt idx="7">
                  <c:v>257</c:v>
                </c:pt>
                <c:pt idx="8">
                  <c:v>183</c:v>
                </c:pt>
                <c:pt idx="9">
                  <c:v>256</c:v>
                </c:pt>
                <c:pt idx="10">
                  <c:v>180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2A8B-4FCD-A936-58F370E83733}"/>
            </c:ext>
          </c:extLst>
        </c:ser>
        <c:ser>
          <c:idx val="13"/>
          <c:order val="2"/>
          <c:tx>
            <c:strRef>
              <c:f>'Opus 4.8'!$H$3</c:f>
              <c:strCache>
                <c:ptCount val="1"/>
                <c:pt idx="0">
                  <c:v>6 Freestyle</c:v>
                </c:pt>
              </c:strCache>
            </c:strRef>
          </c:tx>
          <c:spPr>
            <a:ln w="19050">
              <a:solidFill>
                <a:srgbClr val="C00000"/>
              </a:solidFill>
            </a:ln>
          </c:spPr>
          <c:marker>
            <c:symbol val="none"/>
          </c:marker>
          <c:cat>
            <c:strRef>
              <c:f>'Opus 4.8'!$B$31</c:f>
              <c:strCache>
                <c:ptCount val="1"/>
                <c:pt idx="0">
                  <c:v>Operational Runs</c:v>
                </c:pt>
              </c:strCache>
            </c:strRef>
          </c:cat>
          <c:val>
            <c:numRef>
              <c:f>'Opus 4.8'!$H$31:$H$44</c:f>
              <c:numCache>
                <c:formatCode>General</c:formatCode>
                <c:ptCount val="14"/>
                <c:pt idx="6">
                  <c:v>39</c:v>
                </c:pt>
                <c:pt idx="7">
                  <c:v>49</c:v>
                </c:pt>
                <c:pt idx="8">
                  <c:v>239</c:v>
                </c:pt>
                <c:pt idx="9">
                  <c:v>248</c:v>
                </c:pt>
                <c:pt idx="10">
                  <c:v>262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2A8B-4FCD-A936-58F370E83733}"/>
            </c:ext>
          </c:extLst>
        </c:ser>
        <c:ser>
          <c:idx val="0"/>
          <c:order val="3"/>
          <c:tx>
            <c:strRef>
              <c:f>'Opus 4.8'!$J$3</c:f>
              <c:strCache>
                <c:ptCount val="1"/>
                <c:pt idx="0">
                  <c:v>7 Freestyle</c:v>
                </c:pt>
              </c:strCache>
            </c:strRef>
          </c:tx>
          <c:spPr>
            <a:ln w="19050">
              <a:solidFill>
                <a:srgbClr val="994010"/>
              </a:solidFill>
            </a:ln>
          </c:spPr>
          <c:marker>
            <c:symbol val="none"/>
          </c:marker>
          <c:cat>
            <c:strRef>
              <c:f>'Opus 4.8'!$B$31</c:f>
              <c:strCache>
                <c:ptCount val="1"/>
                <c:pt idx="0">
                  <c:v>Operational Runs</c:v>
                </c:pt>
              </c:strCache>
            </c:strRef>
          </c:cat>
          <c:val>
            <c:numRef>
              <c:f>'Opus 4.8'!$J$31:$J$44</c:f>
              <c:numCache>
                <c:formatCode>General</c:formatCode>
                <c:ptCount val="14"/>
                <c:pt idx="5">
                  <c:v>153</c:v>
                </c:pt>
                <c:pt idx="6">
                  <c:v>184</c:v>
                </c:pt>
                <c:pt idx="7">
                  <c:v>176</c:v>
                </c:pt>
                <c:pt idx="8">
                  <c:v>179</c:v>
                </c:pt>
                <c:pt idx="9">
                  <c:v>185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2A8B-4FCD-A936-58F370E837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30609439"/>
        <c:axId val="1430609919"/>
      </c:lineChart>
      <c:catAx>
        <c:axId val="14306094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0609919"/>
        <c:crosses val="autoZero"/>
        <c:auto val="1"/>
        <c:lblAlgn val="ctr"/>
        <c:lblOffset val="100"/>
        <c:tickMarkSkip val="1"/>
        <c:noMultiLvlLbl val="0"/>
      </c:catAx>
      <c:valAx>
        <c:axId val="1430609919"/>
        <c:scaling>
          <c:orientation val="minMax"/>
          <c:max val="3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Distance</a:t>
                </a:r>
                <a:r>
                  <a:rPr lang="en-US" baseline="0"/>
                  <a:t> to wall (mm)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0609439"/>
        <c:crosses val="autoZero"/>
        <c:crossBetween val="between"/>
      </c:valAx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3"/>
          <c:order val="0"/>
          <c:tx>
            <c:strRef>
              <c:f>'Opus 4.8'!$D$3</c:f>
              <c:strCache>
                <c:ptCount val="1"/>
                <c:pt idx="0">
                  <c:v>4 Freestyle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yVal>
            <c:numRef>
              <c:f>'Opus 4.8'!$D$16:$D$29</c:f>
              <c:numCache>
                <c:formatCode>General</c:formatCode>
                <c:ptCount val="14"/>
                <c:pt idx="5">
                  <c:v>395</c:v>
                </c:pt>
                <c:pt idx="6">
                  <c:v>33</c:v>
                </c:pt>
                <c:pt idx="7">
                  <c:v>38</c:v>
                </c:pt>
                <c:pt idx="8">
                  <c:v>99</c:v>
                </c:pt>
                <c:pt idx="9">
                  <c:v>87</c:v>
                </c:pt>
                <c:pt idx="10">
                  <c:v>95</c:v>
                </c:pt>
                <c:pt idx="11">
                  <c:v>81</c:v>
                </c:pt>
                <c:pt idx="12">
                  <c:v>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8B57-403A-82E8-0037CA95489A}"/>
            </c:ext>
          </c:extLst>
        </c:ser>
        <c:ser>
          <c:idx val="5"/>
          <c:order val="1"/>
          <c:tx>
            <c:strRef>
              <c:f>'Opus 4.8'!$F$3</c:f>
              <c:strCache>
                <c:ptCount val="1"/>
                <c:pt idx="0">
                  <c:v>5 Freestyle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yVal>
            <c:numRef>
              <c:f>'Opus 4.8'!$F$16:$F$29</c:f>
              <c:numCache>
                <c:formatCode>General</c:formatCode>
                <c:ptCount val="14"/>
                <c:pt idx="1">
                  <c:v>228</c:v>
                </c:pt>
                <c:pt idx="2">
                  <c:v>78</c:v>
                </c:pt>
                <c:pt idx="3">
                  <c:v>191</c:v>
                </c:pt>
                <c:pt idx="4">
                  <c:v>178</c:v>
                </c:pt>
                <c:pt idx="5">
                  <c:v>201</c:v>
                </c:pt>
                <c:pt idx="6">
                  <c:v>193</c:v>
                </c:pt>
                <c:pt idx="7">
                  <c:v>257</c:v>
                </c:pt>
                <c:pt idx="8">
                  <c:v>183</c:v>
                </c:pt>
                <c:pt idx="9">
                  <c:v>256</c:v>
                </c:pt>
                <c:pt idx="10">
                  <c:v>180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8B57-403A-82E8-0037CA95489A}"/>
            </c:ext>
          </c:extLst>
        </c:ser>
        <c:ser>
          <c:idx val="6"/>
          <c:order val="2"/>
          <c:tx>
            <c:strRef>
              <c:f>'Opus 4.8'!$H$3</c:f>
              <c:strCache>
                <c:ptCount val="1"/>
                <c:pt idx="0">
                  <c:v>6 Freestyle</c:v>
                </c:pt>
              </c:strCache>
            </c:strRef>
          </c:tx>
          <c:spPr>
            <a:ln w="19050">
              <a:solidFill>
                <a:schemeClr val="accent2"/>
              </a:solidFill>
            </a:ln>
          </c:spPr>
          <c:marker>
            <c:symbol val="none"/>
          </c:marker>
          <c:yVal>
            <c:numRef>
              <c:f>'Opus 4.8'!$H$16:$H$29</c:f>
              <c:numCache>
                <c:formatCode>General</c:formatCode>
                <c:ptCount val="14"/>
                <c:pt idx="2">
                  <c:v>421</c:v>
                </c:pt>
                <c:pt idx="3">
                  <c:v>224</c:v>
                </c:pt>
                <c:pt idx="4">
                  <c:v>809</c:v>
                </c:pt>
                <c:pt idx="5">
                  <c:v>129</c:v>
                </c:pt>
                <c:pt idx="6">
                  <c:v>39</c:v>
                </c:pt>
                <c:pt idx="7">
                  <c:v>49</c:v>
                </c:pt>
                <c:pt idx="8">
                  <c:v>239</c:v>
                </c:pt>
                <c:pt idx="9">
                  <c:v>248</c:v>
                </c:pt>
                <c:pt idx="10">
                  <c:v>262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8B57-403A-82E8-0037CA95489A}"/>
            </c:ext>
          </c:extLst>
        </c:ser>
        <c:ser>
          <c:idx val="0"/>
          <c:order val="3"/>
          <c:tx>
            <c:strRef>
              <c:f>'Opus 4.8'!$J$3</c:f>
              <c:strCache>
                <c:ptCount val="1"/>
                <c:pt idx="0">
                  <c:v>7 Freestyle</c:v>
                </c:pt>
              </c:strCache>
            </c:strRef>
          </c:tx>
          <c:spPr>
            <a:ln w="19050">
              <a:solidFill>
                <a:schemeClr val="accent2"/>
              </a:solidFill>
            </a:ln>
          </c:spPr>
          <c:marker>
            <c:symbol val="none"/>
          </c:marker>
          <c:yVal>
            <c:numRef>
              <c:f>'Opus 4.8'!$J$16:$J$29</c:f>
              <c:numCache>
                <c:formatCode>General</c:formatCode>
                <c:ptCount val="14"/>
                <c:pt idx="2">
                  <c:v>345</c:v>
                </c:pt>
                <c:pt idx="3">
                  <c:v>338</c:v>
                </c:pt>
                <c:pt idx="4">
                  <c:v>212</c:v>
                </c:pt>
                <c:pt idx="5">
                  <c:v>153</c:v>
                </c:pt>
                <c:pt idx="6">
                  <c:v>184</c:v>
                </c:pt>
                <c:pt idx="7">
                  <c:v>176</c:v>
                </c:pt>
                <c:pt idx="8">
                  <c:v>179</c:v>
                </c:pt>
                <c:pt idx="9">
                  <c:v>185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8B57-403A-82E8-0037CA95489A}"/>
            </c:ext>
          </c:extLst>
        </c:ser>
        <c:ser>
          <c:idx val="7"/>
          <c:order val="4"/>
          <c:tx>
            <c:strRef>
              <c:f>'Opus 4.8'!$I$3</c:f>
              <c:strCache>
                <c:ptCount val="1"/>
                <c:pt idx="0">
                  <c:v>7 SE v2</c:v>
                </c:pt>
              </c:strCache>
            </c:strRef>
          </c:tx>
          <c:spPr>
            <a:ln w="19050">
              <a:solidFill>
                <a:schemeClr val="accent4">
                  <a:lumMod val="75000"/>
                </a:schemeClr>
              </a:solidFill>
            </a:ln>
          </c:spPr>
          <c:marker>
            <c:symbol val="none"/>
          </c:marker>
          <c:yVal>
            <c:numRef>
              <c:f>'Opus 4.8'!$I$16:$I$29</c:f>
              <c:numCache>
                <c:formatCode>General</c:formatCode>
                <c:ptCount val="14"/>
                <c:pt idx="1">
                  <c:v>196</c:v>
                </c:pt>
                <c:pt idx="2">
                  <c:v>113</c:v>
                </c:pt>
                <c:pt idx="3">
                  <c:v>138</c:v>
                </c:pt>
                <c:pt idx="4">
                  <c:v>28</c:v>
                </c:pt>
                <c:pt idx="5">
                  <c:v>46</c:v>
                </c:pt>
                <c:pt idx="6">
                  <c:v>46</c:v>
                </c:pt>
                <c:pt idx="7">
                  <c:v>45</c:v>
                </c:pt>
                <c:pt idx="8">
                  <c:v>32</c:v>
                </c:pt>
                <c:pt idx="9">
                  <c:v>51</c:v>
                </c:pt>
                <c:pt idx="10">
                  <c:v>46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B57-403A-82E8-0037CA95489A}"/>
            </c:ext>
          </c:extLst>
        </c:ser>
        <c:ser>
          <c:idx val="8"/>
          <c:order val="5"/>
          <c:tx>
            <c:strRef>
              <c:f>'Opus 4.8'!$K$3</c:f>
              <c:strCache>
                <c:ptCount val="1"/>
                <c:pt idx="0">
                  <c:v>8 SE v2</c:v>
                </c:pt>
              </c:strCache>
            </c:strRef>
          </c:tx>
          <c:spPr>
            <a:ln w="19050">
              <a:solidFill>
                <a:schemeClr val="accent4">
                  <a:lumMod val="75000"/>
                </a:schemeClr>
              </a:solidFill>
            </a:ln>
          </c:spPr>
          <c:marker>
            <c:symbol val="none"/>
          </c:marker>
          <c:yVal>
            <c:numRef>
              <c:f>'Opus 4.8'!$K$16:$K$29</c:f>
              <c:numCache>
                <c:formatCode>General</c:formatCode>
                <c:ptCount val="14"/>
                <c:pt idx="0">
                  <c:v>515</c:v>
                </c:pt>
                <c:pt idx="1">
                  <c:v>522</c:v>
                </c:pt>
                <c:pt idx="2">
                  <c:v>513</c:v>
                </c:pt>
                <c:pt idx="3">
                  <c:v>542</c:v>
                </c:pt>
                <c:pt idx="4">
                  <c:v>33</c:v>
                </c:pt>
                <c:pt idx="5">
                  <c:v>31</c:v>
                </c:pt>
                <c:pt idx="6">
                  <c:v>47</c:v>
                </c:pt>
                <c:pt idx="7">
                  <c:v>50</c:v>
                </c:pt>
                <c:pt idx="8">
                  <c:v>41</c:v>
                </c:pt>
                <c:pt idx="9">
                  <c:v>48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B57-403A-82E8-0037CA95489A}"/>
            </c:ext>
          </c:extLst>
        </c:ser>
        <c:ser>
          <c:idx val="9"/>
          <c:order val="6"/>
          <c:tx>
            <c:strRef>
              <c:f>'Opus 4.8'!$L$3</c:f>
              <c:strCache>
                <c:ptCount val="1"/>
                <c:pt idx="0">
                  <c:v>9 SE v2</c:v>
                </c:pt>
              </c:strCache>
            </c:strRef>
          </c:tx>
          <c:spPr>
            <a:ln w="19050">
              <a:solidFill>
                <a:schemeClr val="accent4">
                  <a:lumMod val="75000"/>
                </a:schemeClr>
              </a:solidFill>
            </a:ln>
          </c:spPr>
          <c:marker>
            <c:symbol val="none"/>
          </c:marker>
          <c:yVal>
            <c:numRef>
              <c:f>'Opus 4.8'!$L$16:$L$29</c:f>
              <c:numCache>
                <c:formatCode>General</c:formatCode>
                <c:ptCount val="14"/>
                <c:pt idx="1">
                  <c:v>321</c:v>
                </c:pt>
                <c:pt idx="2">
                  <c:v>232</c:v>
                </c:pt>
                <c:pt idx="3">
                  <c:v>122</c:v>
                </c:pt>
                <c:pt idx="4">
                  <c:v>43</c:v>
                </c:pt>
                <c:pt idx="5">
                  <c:v>19</c:v>
                </c:pt>
                <c:pt idx="6">
                  <c:v>22</c:v>
                </c:pt>
                <c:pt idx="7">
                  <c:v>14</c:v>
                </c:pt>
                <c:pt idx="8">
                  <c:v>30</c:v>
                </c:pt>
                <c:pt idx="9">
                  <c:v>15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B57-403A-82E8-0037CA95489A}"/>
            </c:ext>
          </c:extLst>
        </c:ser>
        <c:ser>
          <c:idx val="1"/>
          <c:order val="7"/>
          <c:tx>
            <c:strRef>
              <c:f>'Opus 4.8'!$M$3</c:f>
              <c:strCache>
                <c:ptCount val="1"/>
                <c:pt idx="0">
                  <c:v>10 SE v2</c:v>
                </c:pt>
              </c:strCache>
            </c:strRef>
          </c:tx>
          <c:spPr>
            <a:ln w="19050">
              <a:solidFill>
                <a:schemeClr val="accent4">
                  <a:lumMod val="75000"/>
                </a:schemeClr>
              </a:solidFill>
            </a:ln>
          </c:spPr>
          <c:marker>
            <c:symbol val="none"/>
          </c:marker>
          <c:yVal>
            <c:numRef>
              <c:f>'Opus 4.8'!$M$16:$M$29</c:f>
              <c:numCache>
                <c:formatCode>General</c:formatCode>
                <c:ptCount val="14"/>
                <c:pt idx="1">
                  <c:v>374</c:v>
                </c:pt>
                <c:pt idx="2">
                  <c:v>184</c:v>
                </c:pt>
                <c:pt idx="3">
                  <c:v>167</c:v>
                </c:pt>
                <c:pt idx="4">
                  <c:v>166</c:v>
                </c:pt>
                <c:pt idx="5">
                  <c:v>35</c:v>
                </c:pt>
                <c:pt idx="6">
                  <c:v>36</c:v>
                </c:pt>
                <c:pt idx="7">
                  <c:v>35</c:v>
                </c:pt>
                <c:pt idx="8">
                  <c:v>36</c:v>
                </c:pt>
                <c:pt idx="9">
                  <c:v>36</c:v>
                </c:pt>
                <c:pt idx="10">
                  <c:v>35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8B57-403A-82E8-0037CA9548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30609439"/>
        <c:axId val="1430609919"/>
      </c:scatterChart>
      <c:valAx>
        <c:axId val="1430609439"/>
        <c:scaling>
          <c:orientation val="minMax"/>
          <c:max val="14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b="0"/>
                  <a:t>All Runs</a:t>
                </a:r>
                <a:r>
                  <a:rPr lang="en-US" b="0" baseline="0"/>
                  <a:t> Characterization and Operation</a:t>
                </a:r>
                <a:endParaRPr lang="en-US" b="0"/>
              </a:p>
            </c:rich>
          </c:tx>
          <c:overlay val="0"/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0609919"/>
        <c:crosses val="autoZero"/>
        <c:crossBetween val="midCat"/>
      </c:valAx>
      <c:valAx>
        <c:axId val="1430609919"/>
        <c:scaling>
          <c:orientation val="minMax"/>
          <c:max val="9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Distance</a:t>
                </a:r>
                <a:r>
                  <a:rPr lang="en-US" baseline="0"/>
                  <a:t> to wall (mm)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0609439"/>
        <c:crosses val="autoZero"/>
        <c:crossBetween val="midCat"/>
      </c:valAx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8"/>
          <c:order val="0"/>
          <c:tx>
            <c:strRef>
              <c:f>'Opus 4.8'!$D$3</c:f>
              <c:strCache>
                <c:ptCount val="1"/>
                <c:pt idx="0">
                  <c:v>4 Freestyle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yVal>
            <c:numRef>
              <c:f>'Opus 4.8'!$D$31:$D$44</c:f>
              <c:numCache>
                <c:formatCode>General</c:formatCode>
                <c:ptCount val="14"/>
                <c:pt idx="8">
                  <c:v>99</c:v>
                </c:pt>
                <c:pt idx="9">
                  <c:v>87</c:v>
                </c:pt>
                <c:pt idx="10">
                  <c:v>95</c:v>
                </c:pt>
                <c:pt idx="11">
                  <c:v>81</c:v>
                </c:pt>
                <c:pt idx="12">
                  <c:v>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B4D-4AE7-8140-A8007F4C6A2A}"/>
            </c:ext>
          </c:extLst>
        </c:ser>
        <c:ser>
          <c:idx val="9"/>
          <c:order val="1"/>
          <c:tx>
            <c:strRef>
              <c:f>'Opus 4.8'!$F$3</c:f>
              <c:strCache>
                <c:ptCount val="1"/>
                <c:pt idx="0">
                  <c:v>5 Freestyle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yVal>
            <c:numRef>
              <c:f>'Opus 4.8'!$F$31:$F$44</c:f>
              <c:numCache>
                <c:formatCode>General</c:formatCode>
                <c:ptCount val="14"/>
                <c:pt idx="6">
                  <c:v>193</c:v>
                </c:pt>
                <c:pt idx="7">
                  <c:v>257</c:v>
                </c:pt>
                <c:pt idx="8">
                  <c:v>183</c:v>
                </c:pt>
                <c:pt idx="9">
                  <c:v>256</c:v>
                </c:pt>
                <c:pt idx="10">
                  <c:v>180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B4D-4AE7-8140-A8007F4C6A2A}"/>
            </c:ext>
          </c:extLst>
        </c:ser>
        <c:ser>
          <c:idx val="10"/>
          <c:order val="2"/>
          <c:tx>
            <c:strRef>
              <c:f>'Opus 4.8'!$H$3</c:f>
              <c:strCache>
                <c:ptCount val="1"/>
                <c:pt idx="0">
                  <c:v>6 Freestyle</c:v>
                </c:pt>
              </c:strCache>
            </c:strRef>
          </c:tx>
          <c:spPr>
            <a:ln w="19050">
              <a:solidFill>
                <a:schemeClr val="accent2"/>
              </a:solidFill>
            </a:ln>
          </c:spPr>
          <c:marker>
            <c:symbol val="none"/>
          </c:marker>
          <c:yVal>
            <c:numRef>
              <c:f>'Opus 4.8'!$H$31:$H$44</c:f>
              <c:numCache>
                <c:formatCode>General</c:formatCode>
                <c:ptCount val="14"/>
                <c:pt idx="6">
                  <c:v>39</c:v>
                </c:pt>
                <c:pt idx="7">
                  <c:v>49</c:v>
                </c:pt>
                <c:pt idx="8">
                  <c:v>239</c:v>
                </c:pt>
                <c:pt idx="9">
                  <c:v>248</c:v>
                </c:pt>
                <c:pt idx="10">
                  <c:v>262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B4D-4AE7-8140-A8007F4C6A2A}"/>
            </c:ext>
          </c:extLst>
        </c:ser>
        <c:ser>
          <c:idx val="0"/>
          <c:order val="3"/>
          <c:tx>
            <c:strRef>
              <c:f>'Opus 4.8'!$J$3</c:f>
              <c:strCache>
                <c:ptCount val="1"/>
                <c:pt idx="0">
                  <c:v>7 Freestyle</c:v>
                </c:pt>
              </c:strCache>
            </c:strRef>
          </c:tx>
          <c:spPr>
            <a:ln w="19050">
              <a:solidFill>
                <a:schemeClr val="accent2"/>
              </a:solidFill>
            </a:ln>
          </c:spPr>
          <c:marker>
            <c:symbol val="none"/>
          </c:marker>
          <c:yVal>
            <c:numRef>
              <c:f>'Opus 4.8'!$J$31:$J$44</c:f>
              <c:numCache>
                <c:formatCode>General</c:formatCode>
                <c:ptCount val="14"/>
                <c:pt idx="5">
                  <c:v>153</c:v>
                </c:pt>
                <c:pt idx="6">
                  <c:v>184</c:v>
                </c:pt>
                <c:pt idx="7">
                  <c:v>176</c:v>
                </c:pt>
                <c:pt idx="8">
                  <c:v>179</c:v>
                </c:pt>
                <c:pt idx="9">
                  <c:v>185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4B4D-4AE7-8140-A8007F4C6A2A}"/>
            </c:ext>
          </c:extLst>
        </c:ser>
        <c:ser>
          <c:idx val="7"/>
          <c:order val="4"/>
          <c:tx>
            <c:strRef>
              <c:f>'Opus 4.8'!$I$3</c:f>
              <c:strCache>
                <c:ptCount val="1"/>
                <c:pt idx="0">
                  <c:v>7 SE v2</c:v>
                </c:pt>
              </c:strCache>
            </c:strRef>
          </c:tx>
          <c:spPr>
            <a:ln w="19050">
              <a:solidFill>
                <a:schemeClr val="accent4">
                  <a:lumMod val="75000"/>
                </a:schemeClr>
              </a:solidFill>
            </a:ln>
          </c:spPr>
          <c:marker>
            <c:symbol val="none"/>
          </c:marker>
          <c:yVal>
            <c:numRef>
              <c:f>'Opus 4.8'!$I$31:$I$44</c:f>
              <c:numCache>
                <c:formatCode>General</c:formatCode>
                <c:ptCount val="14"/>
                <c:pt idx="6">
                  <c:v>46</c:v>
                </c:pt>
                <c:pt idx="7">
                  <c:v>45</c:v>
                </c:pt>
                <c:pt idx="8">
                  <c:v>32</c:v>
                </c:pt>
                <c:pt idx="9">
                  <c:v>51</c:v>
                </c:pt>
                <c:pt idx="10">
                  <c:v>46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4B4D-4AE7-8140-A8007F4C6A2A}"/>
            </c:ext>
          </c:extLst>
        </c:ser>
        <c:ser>
          <c:idx val="3"/>
          <c:order val="5"/>
          <c:tx>
            <c:strRef>
              <c:f>'Opus 4.8'!$K$3</c:f>
              <c:strCache>
                <c:ptCount val="1"/>
                <c:pt idx="0">
                  <c:v>8 SE v2</c:v>
                </c:pt>
              </c:strCache>
            </c:strRef>
          </c:tx>
          <c:spPr>
            <a:ln w="19050">
              <a:solidFill>
                <a:schemeClr val="accent4">
                  <a:lumMod val="75000"/>
                </a:schemeClr>
              </a:solidFill>
            </a:ln>
          </c:spPr>
          <c:marker>
            <c:symbol val="none"/>
          </c:marker>
          <c:yVal>
            <c:numRef>
              <c:f>'Opus 4.8'!$K$31:$K$44</c:f>
              <c:numCache>
                <c:formatCode>General</c:formatCode>
                <c:ptCount val="14"/>
                <c:pt idx="5">
                  <c:v>31</c:v>
                </c:pt>
                <c:pt idx="6">
                  <c:v>47</c:v>
                </c:pt>
                <c:pt idx="7">
                  <c:v>50</c:v>
                </c:pt>
                <c:pt idx="8">
                  <c:v>41</c:v>
                </c:pt>
                <c:pt idx="9">
                  <c:v>48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4B4D-4AE7-8140-A8007F4C6A2A}"/>
            </c:ext>
          </c:extLst>
        </c:ser>
        <c:ser>
          <c:idx val="1"/>
          <c:order val="6"/>
          <c:tx>
            <c:strRef>
              <c:f>'Opus 4.8'!$L$3</c:f>
              <c:strCache>
                <c:ptCount val="1"/>
                <c:pt idx="0">
                  <c:v>9 SE v2</c:v>
                </c:pt>
              </c:strCache>
            </c:strRef>
          </c:tx>
          <c:spPr>
            <a:ln w="19050">
              <a:solidFill>
                <a:schemeClr val="accent4">
                  <a:lumMod val="75000"/>
                </a:schemeClr>
              </a:solidFill>
            </a:ln>
          </c:spPr>
          <c:marker>
            <c:symbol val="none"/>
          </c:marker>
          <c:yVal>
            <c:numRef>
              <c:f>'Opus 4.8'!$L$31:$L$44</c:f>
              <c:numCache>
                <c:formatCode>General</c:formatCode>
                <c:ptCount val="14"/>
                <c:pt idx="5">
                  <c:v>19</c:v>
                </c:pt>
                <c:pt idx="6">
                  <c:v>22</c:v>
                </c:pt>
                <c:pt idx="7">
                  <c:v>14</c:v>
                </c:pt>
                <c:pt idx="8">
                  <c:v>30</c:v>
                </c:pt>
                <c:pt idx="9">
                  <c:v>15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4B4D-4AE7-8140-A8007F4C6A2A}"/>
            </c:ext>
          </c:extLst>
        </c:ser>
        <c:ser>
          <c:idx val="6"/>
          <c:order val="7"/>
          <c:tx>
            <c:strRef>
              <c:f>'Opus 4.8'!$M$3</c:f>
              <c:strCache>
                <c:ptCount val="1"/>
                <c:pt idx="0">
                  <c:v>10 SE v2</c:v>
                </c:pt>
              </c:strCache>
            </c:strRef>
          </c:tx>
          <c:spPr>
            <a:ln w="19050">
              <a:solidFill>
                <a:schemeClr val="accent4">
                  <a:lumMod val="75000"/>
                </a:schemeClr>
              </a:solidFill>
            </a:ln>
          </c:spPr>
          <c:marker>
            <c:symbol val="none"/>
          </c:marker>
          <c:yVal>
            <c:numRef>
              <c:f>'Opus 4.8'!$M$31:$M$44</c:f>
              <c:numCache>
                <c:formatCode>General</c:formatCode>
                <c:ptCount val="14"/>
                <c:pt idx="6">
                  <c:v>36</c:v>
                </c:pt>
                <c:pt idx="7">
                  <c:v>35</c:v>
                </c:pt>
                <c:pt idx="8">
                  <c:v>36</c:v>
                </c:pt>
                <c:pt idx="9">
                  <c:v>36</c:v>
                </c:pt>
                <c:pt idx="10">
                  <c:v>35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4B4D-4AE7-8140-A8007F4C6A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30609439"/>
        <c:axId val="1430609919"/>
      </c:scatterChart>
      <c:valAx>
        <c:axId val="1430609439"/>
        <c:scaling>
          <c:orientation val="minMax"/>
          <c:max val="14"/>
          <c:min val="5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b="0"/>
                  <a:t>Operational Runs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0609919"/>
        <c:crosses val="autoZero"/>
        <c:crossBetween val="midCat"/>
        <c:minorUnit val="1"/>
      </c:valAx>
      <c:valAx>
        <c:axId val="1430609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Distance</a:t>
                </a:r>
                <a:r>
                  <a:rPr lang="en-US" baseline="0"/>
                  <a:t> to wall (mm)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0609439"/>
        <c:crosses val="autoZero"/>
        <c:crossBetween val="midCat"/>
      </c:valAx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'Opus 4.8'!$D$3</c:f>
              <c:strCache>
                <c:ptCount val="1"/>
                <c:pt idx="0">
                  <c:v>4 Freestyle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'Opus 4.8'!$B$6:$B$9</c15:sqref>
                  </c15:fullRef>
                </c:ext>
              </c:extLst>
              <c:f>('Opus 4.8'!$B$6:$B$7,'Opus 4.8'!$B$9)</c:f>
              <c:strCache>
                <c:ptCount val="3"/>
                <c:pt idx="0">
                  <c:v>Human Measure</c:v>
                </c:pt>
                <c:pt idx="1">
                  <c:v>Impacts</c:v>
                </c:pt>
                <c:pt idx="2">
                  <c:v>Char Runs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'Opus 4.8'!$D$6:$D$9</c15:sqref>
                  </c15:fullRef>
                </c:ext>
              </c:extLst>
              <c:f>('Opus 4.8'!$D$6:$D$7,'Opus 4.8'!$D$9)</c:f>
              <c:numCache>
                <c:formatCode>General</c:formatCode>
                <c:ptCount val="3"/>
                <c:pt idx="0">
                  <c:v>0</c:v>
                </c:pt>
                <c:pt idx="1">
                  <c:v>4</c:v>
                </c:pt>
                <c:pt idx="2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CE-44F1-B800-E422329C9509}"/>
            </c:ext>
          </c:extLst>
        </c:ser>
        <c:ser>
          <c:idx val="3"/>
          <c:order val="1"/>
          <c:tx>
            <c:strRef>
              <c:f>'Opus 4.8'!$F$3</c:f>
              <c:strCache>
                <c:ptCount val="1"/>
                <c:pt idx="0">
                  <c:v>5 Freestyle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'Opus 4.8'!$B$6:$B$9</c15:sqref>
                  </c15:fullRef>
                </c:ext>
              </c:extLst>
              <c:f>('Opus 4.8'!$B$6:$B$7,'Opus 4.8'!$B$9)</c:f>
              <c:strCache>
                <c:ptCount val="3"/>
                <c:pt idx="0">
                  <c:v>Human Measure</c:v>
                </c:pt>
                <c:pt idx="1">
                  <c:v>Impacts</c:v>
                </c:pt>
                <c:pt idx="2">
                  <c:v>Char Runs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'Opus 4.8'!$F$6:$F$9</c15:sqref>
                  </c15:fullRef>
                </c:ext>
              </c:extLst>
              <c:f>('Opus 4.8'!$F$6:$F$7,'Opus 4.8'!$F$9)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1CE-44F1-B800-E422329C9509}"/>
            </c:ext>
          </c:extLst>
        </c:ser>
        <c:ser>
          <c:idx val="5"/>
          <c:order val="2"/>
          <c:tx>
            <c:strRef>
              <c:f>'Opus 4.8'!$H$3</c:f>
              <c:strCache>
                <c:ptCount val="1"/>
                <c:pt idx="0">
                  <c:v>6 Freestyle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Human Measure</c:v>
              </c:pt>
              <c:pt idx="1">
                <c:v>Impacts</c:v>
              </c:pt>
              <c:pt idx="2">
                <c:v>Char Runs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'Opus 4.8'!$H$6:$H$9</c15:sqref>
                  </c15:fullRef>
                </c:ext>
              </c:extLst>
              <c:f>('Opus 4.8'!$H$6:$H$7,'Opus 4.8'!$H$9)</c:f>
              <c:numCache>
                <c:formatCode>General</c:formatCode>
                <c:ptCount val="3"/>
                <c:pt idx="0">
                  <c:v>1</c:v>
                </c:pt>
                <c:pt idx="1">
                  <c:v>0</c:v>
                </c:pt>
                <c:pt idx="2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1CE-44F1-B800-E422329C9509}"/>
            </c:ext>
          </c:extLst>
        </c:ser>
        <c:ser>
          <c:idx val="7"/>
          <c:order val="3"/>
          <c:tx>
            <c:strRef>
              <c:f>'Opus 4.8'!$J$3</c:f>
              <c:strCache>
                <c:ptCount val="1"/>
                <c:pt idx="0">
                  <c:v>7 Freestyle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Human Measure</c:v>
              </c:pt>
              <c:pt idx="1">
                <c:v>Impacts</c:v>
              </c:pt>
              <c:pt idx="2">
                <c:v>Char Runs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'Opus 4.8'!$J$6:$J$9</c15:sqref>
                  </c15:fullRef>
                </c:ext>
              </c:extLst>
              <c:f>('Opus 4.8'!$J$6:$J$7,'Opus 4.8'!$J$9)</c:f>
              <c:numCache>
                <c:formatCode>General</c:formatCode>
                <c:ptCount val="3"/>
                <c:pt idx="0">
                  <c:v>0</c:v>
                </c:pt>
                <c:pt idx="1">
                  <c:v>1</c:v>
                </c:pt>
                <c:pt idx="2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1CE-44F1-B800-E422329C9509}"/>
            </c:ext>
          </c:extLst>
        </c:ser>
        <c:ser>
          <c:idx val="0"/>
          <c:order val="4"/>
          <c:tx>
            <c:strRef>
              <c:f>'Opus 4.8'!$C$3</c:f>
              <c:strCache>
                <c:ptCount val="1"/>
                <c:pt idx="0">
                  <c:v>4 SE v0</c:v>
                </c:pt>
              </c:strCache>
            </c:strRef>
          </c:tx>
          <c:spPr>
            <a:solidFill>
              <a:schemeClr val="accent4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'Opus 4.8'!$B$6:$B$9</c15:sqref>
                  </c15:fullRef>
                </c:ext>
              </c:extLst>
              <c:f>('Opus 4.8'!$B$6:$B$7,'Opus 4.8'!$B$9)</c:f>
              <c:strCache>
                <c:ptCount val="3"/>
                <c:pt idx="0">
                  <c:v>Human Measure</c:v>
                </c:pt>
                <c:pt idx="1">
                  <c:v>Impacts</c:v>
                </c:pt>
                <c:pt idx="2">
                  <c:v>Char Runs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'Opus 4.8'!$C$6:$C$9</c15:sqref>
                  </c15:fullRef>
                </c:ext>
              </c:extLst>
              <c:f>('Opus 4.8'!$C$6:$C$7,'Opus 4.8'!$C$9)</c:f>
              <c:numCache>
                <c:formatCode>General</c:formatCode>
                <c:ptCount val="3"/>
                <c:pt idx="0">
                  <c:v>3</c:v>
                </c:pt>
                <c:pt idx="1">
                  <c:v>1</c:v>
                </c:pt>
                <c:pt idx="2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1CE-44F1-B800-E422329C9509}"/>
            </c:ext>
          </c:extLst>
        </c:ser>
        <c:ser>
          <c:idx val="2"/>
          <c:order val="5"/>
          <c:tx>
            <c:strRef>
              <c:f>'Opus 4.8'!$E$3</c:f>
              <c:strCache>
                <c:ptCount val="1"/>
                <c:pt idx="0">
                  <c:v>5 SE v1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'Opus 4.8'!$B$6:$B$9</c15:sqref>
                  </c15:fullRef>
                </c:ext>
              </c:extLst>
              <c:f>('Opus 4.8'!$B$6:$B$7,'Opus 4.8'!$B$9)</c:f>
              <c:strCache>
                <c:ptCount val="3"/>
                <c:pt idx="0">
                  <c:v>Human Measure</c:v>
                </c:pt>
                <c:pt idx="1">
                  <c:v>Impacts</c:v>
                </c:pt>
                <c:pt idx="2">
                  <c:v>Char Runs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'Opus 4.8'!$E$6:$E$9</c15:sqref>
                  </c15:fullRef>
                </c:ext>
              </c:extLst>
              <c:f>('Opus 4.8'!$E$6:$E$7,'Opus 4.8'!$E$9)</c:f>
              <c:numCache>
                <c:formatCode>General</c:formatCode>
                <c:ptCount val="3"/>
                <c:pt idx="0">
                  <c:v>1</c:v>
                </c:pt>
                <c:pt idx="1">
                  <c:v>0</c:v>
                </c:pt>
                <c:pt idx="2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1CE-44F1-B800-E422329C9509}"/>
            </c:ext>
          </c:extLst>
        </c:ser>
        <c:ser>
          <c:idx val="4"/>
          <c:order val="6"/>
          <c:tx>
            <c:strRef>
              <c:f>'Opus 4.8'!$G$3</c:f>
              <c:strCache>
                <c:ptCount val="1"/>
                <c:pt idx="0">
                  <c:v>6 SE v1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Human Measure</c:v>
              </c:pt>
              <c:pt idx="1">
                <c:v>Impacts</c:v>
              </c:pt>
              <c:pt idx="2">
                <c:v>Char Runs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'Opus 4.8'!$G$6:$G$9</c15:sqref>
                  </c15:fullRef>
                </c:ext>
              </c:extLst>
              <c:f>('Opus 4.8'!$G$6:$G$7,'Opus 4.8'!$G$9)</c:f>
              <c:numCache>
                <c:formatCode>General</c:formatCode>
                <c:ptCount val="3"/>
                <c:pt idx="0">
                  <c:v>3</c:v>
                </c:pt>
                <c:pt idx="1">
                  <c:v>0</c:v>
                </c:pt>
                <c:pt idx="2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1CE-44F1-B800-E422329C9509}"/>
            </c:ext>
          </c:extLst>
        </c:ser>
        <c:ser>
          <c:idx val="6"/>
          <c:order val="7"/>
          <c:tx>
            <c:strRef>
              <c:f>'Opus 4.8'!$I$3</c:f>
              <c:strCache>
                <c:ptCount val="1"/>
                <c:pt idx="0">
                  <c:v>7 SE v2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Human Measure</c:v>
              </c:pt>
              <c:pt idx="1">
                <c:v>Impacts</c:v>
              </c:pt>
              <c:pt idx="2">
                <c:v>Char Runs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'Opus 4.8'!$I$6:$I$9</c15:sqref>
                  </c15:fullRef>
                </c:ext>
              </c:extLst>
              <c:f>('Opus 4.8'!$I$6:$I$7,'Opus 4.8'!$I$9)</c:f>
              <c:numCache>
                <c:formatCode>General</c:formatCode>
                <c:ptCount val="3"/>
                <c:pt idx="0">
                  <c:v>4</c:v>
                </c:pt>
                <c:pt idx="1">
                  <c:v>1</c:v>
                </c:pt>
                <c:pt idx="2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51CE-44F1-B800-E422329C9509}"/>
            </c:ext>
          </c:extLst>
        </c:ser>
        <c:ser>
          <c:idx val="8"/>
          <c:order val="8"/>
          <c:tx>
            <c:strRef>
              <c:f>'Opus 4.8'!$K$3</c:f>
              <c:strCache>
                <c:ptCount val="1"/>
                <c:pt idx="0">
                  <c:v>8 SE v2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Human Measure</c:v>
              </c:pt>
              <c:pt idx="1">
                <c:v>Impacts</c:v>
              </c:pt>
              <c:pt idx="2">
                <c:v>Char Runs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'Opus 4.8'!$K$6:$K$9</c15:sqref>
                  </c15:fullRef>
                </c:ext>
              </c:extLst>
              <c:f>('Opus 4.8'!$K$6:$K$7,'Opus 4.8'!$K$9)</c:f>
              <c:numCache>
                <c:formatCode>General</c:formatCode>
                <c:ptCount val="3"/>
                <c:pt idx="0">
                  <c:v>1</c:v>
                </c:pt>
                <c:pt idx="1">
                  <c:v>0</c:v>
                </c:pt>
                <c:pt idx="2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51CE-44F1-B800-E422329C9509}"/>
            </c:ext>
          </c:extLst>
        </c:ser>
        <c:ser>
          <c:idx val="9"/>
          <c:order val="9"/>
          <c:tx>
            <c:strRef>
              <c:f>'Opus 4.8'!$L$3</c:f>
              <c:strCache>
                <c:ptCount val="1"/>
                <c:pt idx="0">
                  <c:v>9 SE v2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Human Measure</c:v>
              </c:pt>
              <c:pt idx="1">
                <c:v>Impacts</c:v>
              </c:pt>
              <c:pt idx="2">
                <c:v>Char Runs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'Opus 4.8'!$L$6:$L$9</c15:sqref>
                  </c15:fullRef>
                </c:ext>
              </c:extLst>
              <c:f>('Opus 4.8'!$L$6:$L$7,'Opus 4.8'!$L$9)</c:f>
              <c:numCache>
                <c:formatCode>General</c:formatCode>
                <c:ptCount val="3"/>
                <c:pt idx="0">
                  <c:v>2</c:v>
                </c:pt>
                <c:pt idx="1">
                  <c:v>0</c:v>
                </c:pt>
                <c:pt idx="2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51CE-44F1-B800-E422329C9509}"/>
            </c:ext>
          </c:extLst>
        </c:ser>
        <c:ser>
          <c:idx val="10"/>
          <c:order val="10"/>
          <c:tx>
            <c:strRef>
              <c:f>'Opus 4.8'!$M$3</c:f>
              <c:strCache>
                <c:ptCount val="1"/>
                <c:pt idx="0">
                  <c:v>10 SE v2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Human Measure</c:v>
              </c:pt>
              <c:pt idx="1">
                <c:v>Impacts</c:v>
              </c:pt>
              <c:pt idx="2">
                <c:v>Char Runs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'Opus 4.8'!$M$6:$M$9</c15:sqref>
                  </c15:fullRef>
                </c:ext>
              </c:extLst>
              <c:f>('Opus 4.8'!$M$6:$M$7,'Opus 4.8'!$M$9)</c:f>
              <c:numCache>
                <c:formatCode>General</c:formatCode>
                <c:ptCount val="3"/>
                <c:pt idx="0">
                  <c:v>1</c:v>
                </c:pt>
                <c:pt idx="1">
                  <c:v>0</c:v>
                </c:pt>
                <c:pt idx="2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51CE-44F1-B800-E422329C95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3320239"/>
        <c:axId val="83323119"/>
      </c:barChart>
      <c:catAx>
        <c:axId val="833202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323119"/>
        <c:crosses val="autoZero"/>
        <c:auto val="1"/>
        <c:lblAlgn val="ctr"/>
        <c:lblOffset val="100"/>
        <c:noMultiLvlLbl val="0"/>
      </c:catAx>
      <c:valAx>
        <c:axId val="833231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Count #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3202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'Opus 4.8'!$D$3</c:f>
              <c:strCache>
                <c:ptCount val="1"/>
                <c:pt idx="0">
                  <c:v>4 Freestyle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'Opus 4.8'!$B$10:$B$14</c15:sqref>
                  </c15:fullRef>
                </c:ext>
              </c:extLst>
              <c:f>('Opus 4.8'!$B$10,'Opus 4.8'!$B$12,'Opus 4.8'!$B$14)</c:f>
              <c:strCache>
                <c:ptCount val="3"/>
                <c:pt idx="0">
                  <c:v>Op Avg Dist</c:v>
                </c:pt>
                <c:pt idx="1">
                  <c:v>Op Sdev</c:v>
                </c:pt>
                <c:pt idx="2">
                  <c:v>Op Error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'Opus 4.8'!$D$10:$D$14</c15:sqref>
                  </c15:fullRef>
                </c:ext>
              </c:extLst>
              <c:f>('Opus 4.8'!$D$10,'Opus 4.8'!$D$12,'Opus 4.8'!$D$14)</c:f>
              <c:numCache>
                <c:formatCode>0</c:formatCode>
                <c:ptCount val="3"/>
                <c:pt idx="0">
                  <c:v>91.8</c:v>
                </c:pt>
                <c:pt idx="1">
                  <c:v>7.5630681604756154</c:v>
                </c:pt>
                <c:pt idx="2">
                  <c:v>27.799999999999997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88-4A72-88F6-D65AC5DDBC31}"/>
            </c:ext>
          </c:extLst>
        </c:ser>
        <c:ser>
          <c:idx val="3"/>
          <c:order val="1"/>
          <c:tx>
            <c:strRef>
              <c:f>'Opus 4.8'!$F$3</c:f>
              <c:strCache>
                <c:ptCount val="1"/>
                <c:pt idx="0">
                  <c:v>5 Freestyle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'Opus 4.8'!$B$10:$B$14</c15:sqref>
                  </c15:fullRef>
                </c:ext>
              </c:extLst>
              <c:f>('Opus 4.8'!$B$10,'Opus 4.8'!$B$12,'Opus 4.8'!$B$14)</c:f>
              <c:strCache>
                <c:ptCount val="3"/>
                <c:pt idx="0">
                  <c:v>Op Avg Dist</c:v>
                </c:pt>
                <c:pt idx="1">
                  <c:v>Op Sdev</c:v>
                </c:pt>
                <c:pt idx="2">
                  <c:v>Op Error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'Opus 4.8'!$F$10:$F$14</c15:sqref>
                  </c15:fullRef>
                </c:ext>
              </c:extLst>
              <c:f>('Opus 4.8'!$F$10,'Opus 4.8'!$F$12,'Opus 4.8'!$F$14)</c:f>
              <c:numCache>
                <c:formatCode>0</c:formatCode>
                <c:ptCount val="3"/>
                <c:pt idx="0">
                  <c:v>213.8</c:v>
                </c:pt>
                <c:pt idx="1">
                  <c:v>39.277219860881154</c:v>
                </c:pt>
                <c:pt idx="2">
                  <c:v>148.80000000000001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88-4A72-88F6-D65AC5DDBC31}"/>
            </c:ext>
          </c:extLst>
        </c:ser>
        <c:ser>
          <c:idx val="5"/>
          <c:order val="2"/>
          <c:tx>
            <c:strRef>
              <c:f>'Opus 4.8'!$H$3</c:f>
              <c:strCache>
                <c:ptCount val="1"/>
                <c:pt idx="0">
                  <c:v>6 Freestyle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Op Avg Dist</c:v>
              </c:pt>
              <c:pt idx="1">
                <c:v>Op Sdev</c:v>
              </c:pt>
              <c:pt idx="2">
                <c:v>Op Error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'Opus 4.8'!$H$10:$H$14</c15:sqref>
                  </c15:fullRef>
                </c:ext>
              </c:extLst>
              <c:f>('Opus 4.8'!$H$10,'Opus 4.8'!$H$12,'Opus 4.8'!$H$14)</c:f>
              <c:numCache>
                <c:formatCode>0</c:formatCode>
                <c:ptCount val="3"/>
                <c:pt idx="0">
                  <c:v>167.4</c:v>
                </c:pt>
                <c:pt idx="1">
                  <c:v>113.0013274258316</c:v>
                </c:pt>
                <c:pt idx="2">
                  <c:v>122.4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88-4A72-88F6-D65AC5DDBC31}"/>
            </c:ext>
          </c:extLst>
        </c:ser>
        <c:ser>
          <c:idx val="7"/>
          <c:order val="3"/>
          <c:tx>
            <c:strRef>
              <c:f>'Opus 4.8'!$J$3</c:f>
              <c:strCache>
                <c:ptCount val="1"/>
                <c:pt idx="0">
                  <c:v>7 Freestyle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Op Avg Dist</c:v>
              </c:pt>
              <c:pt idx="1">
                <c:v>Op Sdev</c:v>
              </c:pt>
              <c:pt idx="2">
                <c:v>Op Error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'Opus 4.8'!$J$10:$J$14</c15:sqref>
                  </c15:fullRef>
                </c:ext>
              </c:extLst>
              <c:f>('Opus 4.8'!$J$10,'Opus 4.8'!$J$12,'Opus 4.8'!$J$14)</c:f>
              <c:numCache>
                <c:formatCode>0</c:formatCode>
                <c:ptCount val="3"/>
                <c:pt idx="0">
                  <c:v>175.4</c:v>
                </c:pt>
                <c:pt idx="1">
                  <c:v>13.049904214207857</c:v>
                </c:pt>
                <c:pt idx="2">
                  <c:v>133.4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588-4A72-88F6-D65AC5DDBC31}"/>
            </c:ext>
          </c:extLst>
        </c:ser>
        <c:ser>
          <c:idx val="0"/>
          <c:order val="4"/>
          <c:tx>
            <c:strRef>
              <c:f>'Opus 4.8'!$C$3</c:f>
              <c:strCache>
                <c:ptCount val="1"/>
                <c:pt idx="0">
                  <c:v>4 SE v0</c:v>
                </c:pt>
              </c:strCache>
            </c:strRef>
          </c:tx>
          <c:spPr>
            <a:solidFill>
              <a:schemeClr val="accent4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'Opus 4.8'!$B$10:$B$14</c15:sqref>
                  </c15:fullRef>
                </c:ext>
              </c:extLst>
              <c:f>('Opus 4.8'!$B$10,'Opus 4.8'!$B$12,'Opus 4.8'!$B$14)</c:f>
              <c:strCache>
                <c:ptCount val="3"/>
                <c:pt idx="0">
                  <c:v>Op Avg Dist</c:v>
                </c:pt>
                <c:pt idx="1">
                  <c:v>Op Sdev</c:v>
                </c:pt>
                <c:pt idx="2">
                  <c:v>Op Error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'Opus 4.8'!$C$10:$C$14</c15:sqref>
                  </c15:fullRef>
                </c:ext>
              </c:extLst>
              <c:f>('Opus 4.8'!$C$10,'Opus 4.8'!$C$12,'Opus 4.8'!$C$14)</c:f>
              <c:numCache>
                <c:formatCode>0</c:formatCode>
                <c:ptCount val="3"/>
                <c:pt idx="0">
                  <c:v>192.4</c:v>
                </c:pt>
                <c:pt idx="1">
                  <c:v>12.054044964243332</c:v>
                </c:pt>
                <c:pt idx="2">
                  <c:v>19.400000000000006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588-4A72-88F6-D65AC5DDBC31}"/>
            </c:ext>
          </c:extLst>
        </c:ser>
        <c:ser>
          <c:idx val="2"/>
          <c:order val="5"/>
          <c:tx>
            <c:strRef>
              <c:f>'Opus 4.8'!$E$3</c:f>
              <c:strCache>
                <c:ptCount val="1"/>
                <c:pt idx="0">
                  <c:v>5 SE v1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'Opus 4.8'!$B$10:$B$14</c15:sqref>
                  </c15:fullRef>
                </c:ext>
              </c:extLst>
              <c:f>('Opus 4.8'!$B$10,'Opus 4.8'!$B$12,'Opus 4.8'!$B$14)</c:f>
              <c:strCache>
                <c:ptCount val="3"/>
                <c:pt idx="0">
                  <c:v>Op Avg Dist</c:v>
                </c:pt>
                <c:pt idx="1">
                  <c:v>Op Sdev</c:v>
                </c:pt>
                <c:pt idx="2">
                  <c:v>Op Error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'Opus 4.8'!$E$10:$E$14</c15:sqref>
                  </c15:fullRef>
                </c:ext>
              </c:extLst>
              <c:f>('Opus 4.8'!$E$10,'Opus 4.8'!$E$12,'Opus 4.8'!$E$14)</c:f>
              <c:numCache>
                <c:formatCode>0</c:formatCode>
                <c:ptCount val="3"/>
                <c:pt idx="0">
                  <c:v>70.8</c:v>
                </c:pt>
                <c:pt idx="1">
                  <c:v>5.4497706373754848</c:v>
                </c:pt>
                <c:pt idx="2">
                  <c:v>0.79999999999999716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588-4A72-88F6-D65AC5DDBC31}"/>
            </c:ext>
          </c:extLst>
        </c:ser>
        <c:ser>
          <c:idx val="4"/>
          <c:order val="6"/>
          <c:tx>
            <c:strRef>
              <c:f>'Opus 4.8'!$G$3</c:f>
              <c:strCache>
                <c:ptCount val="1"/>
                <c:pt idx="0">
                  <c:v>6 SE v1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Op Avg Dist</c:v>
              </c:pt>
              <c:pt idx="1">
                <c:v>Op Sdev</c:v>
              </c:pt>
              <c:pt idx="2">
                <c:v>Op Error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'Opus 4.8'!$G$10:$G$14</c15:sqref>
                  </c15:fullRef>
                </c:ext>
              </c:extLst>
              <c:f>('Opus 4.8'!$G$10,'Opus 4.8'!$G$12,'Opus 4.8'!$G$14)</c:f>
              <c:numCache>
                <c:formatCode>0</c:formatCode>
                <c:ptCount val="3"/>
                <c:pt idx="0">
                  <c:v>148</c:v>
                </c:pt>
                <c:pt idx="1">
                  <c:v>9</c:v>
                </c:pt>
                <c:pt idx="2">
                  <c:v>104.5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588-4A72-88F6-D65AC5DDBC31}"/>
            </c:ext>
          </c:extLst>
        </c:ser>
        <c:ser>
          <c:idx val="6"/>
          <c:order val="7"/>
          <c:tx>
            <c:strRef>
              <c:f>'Opus 4.8'!$I$3</c:f>
              <c:strCache>
                <c:ptCount val="1"/>
                <c:pt idx="0">
                  <c:v>7 SE v2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Op Avg Dist</c:v>
              </c:pt>
              <c:pt idx="1">
                <c:v>Op Sdev</c:v>
              </c:pt>
              <c:pt idx="2">
                <c:v>Op Error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'Opus 4.8'!$I$10:$I$14</c15:sqref>
                  </c15:fullRef>
                </c:ext>
              </c:extLst>
              <c:f>('Opus 4.8'!$I$10,'Opus 4.8'!$I$12,'Opus 4.8'!$I$14)</c:f>
              <c:numCache>
                <c:formatCode>0</c:formatCode>
                <c:ptCount val="3"/>
                <c:pt idx="0">
                  <c:v>44</c:v>
                </c:pt>
                <c:pt idx="1">
                  <c:v>7.1063352017759476</c:v>
                </c:pt>
                <c:pt idx="2">
                  <c:v>-3.5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3588-4A72-88F6-D65AC5DDBC31}"/>
            </c:ext>
          </c:extLst>
        </c:ser>
        <c:ser>
          <c:idx val="8"/>
          <c:order val="8"/>
          <c:tx>
            <c:strRef>
              <c:f>'Opus 4.8'!$K$3</c:f>
              <c:strCache>
                <c:ptCount val="1"/>
                <c:pt idx="0">
                  <c:v>8 SE v2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Op Avg Dist</c:v>
              </c:pt>
              <c:pt idx="1">
                <c:v>Op Sdev</c:v>
              </c:pt>
              <c:pt idx="2">
                <c:v>Op Error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'Opus 4.8'!$K$10:$K$14</c15:sqref>
                  </c15:fullRef>
                </c:ext>
              </c:extLst>
              <c:f>('Opus 4.8'!$K$10,'Opus 4.8'!$K$12,'Opus 4.8'!$K$14)</c:f>
              <c:numCache>
                <c:formatCode>0</c:formatCode>
                <c:ptCount val="3"/>
                <c:pt idx="0">
                  <c:v>43.4</c:v>
                </c:pt>
                <c:pt idx="1">
                  <c:v>7.700649323271394</c:v>
                </c:pt>
                <c:pt idx="2">
                  <c:v>-1.7000000000000028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3588-4A72-88F6-D65AC5DDBC31}"/>
            </c:ext>
          </c:extLst>
        </c:ser>
        <c:ser>
          <c:idx val="9"/>
          <c:order val="9"/>
          <c:tx>
            <c:strRef>
              <c:f>'Opus 4.8'!$L$3</c:f>
              <c:strCache>
                <c:ptCount val="1"/>
                <c:pt idx="0">
                  <c:v>9 SE v2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Op Avg Dist</c:v>
              </c:pt>
              <c:pt idx="1">
                <c:v>Op Sdev</c:v>
              </c:pt>
              <c:pt idx="2">
                <c:v>Op Error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'Opus 4.8'!$L$10:$L$14</c15:sqref>
                  </c15:fullRef>
                </c:ext>
              </c:extLst>
              <c:f>('Opus 4.8'!$L$10,'Opus 4.8'!$L$12,'Opus 4.8'!$L$14)</c:f>
              <c:numCache>
                <c:formatCode>0</c:formatCode>
                <c:ptCount val="3"/>
                <c:pt idx="0">
                  <c:v>20</c:v>
                </c:pt>
                <c:pt idx="1">
                  <c:v>6.4420493633625631</c:v>
                </c:pt>
                <c:pt idx="2">
                  <c:v>-10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3588-4A72-88F6-D65AC5DDBC31}"/>
            </c:ext>
          </c:extLst>
        </c:ser>
        <c:ser>
          <c:idx val="10"/>
          <c:order val="10"/>
          <c:tx>
            <c:strRef>
              <c:f>'Opus 4.8'!$M$3</c:f>
              <c:strCache>
                <c:ptCount val="1"/>
                <c:pt idx="0">
                  <c:v>10 SE v2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Op Avg Dist</c:v>
              </c:pt>
              <c:pt idx="1">
                <c:v>Op Sdev</c:v>
              </c:pt>
              <c:pt idx="2">
                <c:v>Op Error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'Opus 4.8'!$M$10:$M$14</c15:sqref>
                  </c15:fullRef>
                </c:ext>
              </c:extLst>
              <c:f>('Opus 4.8'!$M$10,'Opus 4.8'!$M$12,'Opus 4.8'!$M$14)</c:f>
              <c:numCache>
                <c:formatCode>0</c:formatCode>
                <c:ptCount val="3"/>
                <c:pt idx="0">
                  <c:v>35.6</c:v>
                </c:pt>
                <c:pt idx="1">
                  <c:v>0.54772255750516607</c:v>
                </c:pt>
                <c:pt idx="2">
                  <c:v>1.6000000000000014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3588-4A72-88F6-D65AC5DDBC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3320239"/>
        <c:axId val="83323119"/>
      </c:barChart>
      <c:catAx>
        <c:axId val="833202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323119"/>
        <c:crosses val="autoZero"/>
        <c:auto val="1"/>
        <c:lblAlgn val="ctr"/>
        <c:lblOffset val="100"/>
        <c:noMultiLvlLbl val="0"/>
      </c:catAx>
      <c:valAx>
        <c:axId val="833231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Distance to wall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3202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3"/>
          <c:order val="0"/>
          <c:tx>
            <c:strRef>
              <c:f>'Mix Models'!$D$4:$D$5</c:f>
              <c:strCache>
                <c:ptCount val="2"/>
                <c:pt idx="0">
                  <c:v>Opus 4.8</c:v>
                </c:pt>
                <c:pt idx="1">
                  <c:v>Freestyle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yVal>
            <c:numRef>
              <c:f>'Mix Models'!$D$17:$D$30</c:f>
              <c:numCache>
                <c:formatCode>General</c:formatCode>
                <c:ptCount val="14"/>
                <c:pt idx="5">
                  <c:v>395</c:v>
                </c:pt>
                <c:pt idx="6">
                  <c:v>33</c:v>
                </c:pt>
                <c:pt idx="7">
                  <c:v>38</c:v>
                </c:pt>
                <c:pt idx="8">
                  <c:v>99</c:v>
                </c:pt>
                <c:pt idx="9">
                  <c:v>87</c:v>
                </c:pt>
                <c:pt idx="10">
                  <c:v>95</c:v>
                </c:pt>
                <c:pt idx="11">
                  <c:v>81</c:v>
                </c:pt>
                <c:pt idx="12">
                  <c:v>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B85-4204-BA6B-0BDA87DAA8A0}"/>
            </c:ext>
          </c:extLst>
        </c:ser>
        <c:ser>
          <c:idx val="5"/>
          <c:order val="1"/>
          <c:tx>
            <c:strRef>
              <c:f>'Mix Models'!$F$4:$F$5</c:f>
              <c:strCache>
                <c:ptCount val="2"/>
                <c:pt idx="0">
                  <c:v>Opus 4.8</c:v>
                </c:pt>
                <c:pt idx="1">
                  <c:v>Freestyle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yVal>
            <c:numRef>
              <c:f>'Mix Models'!$F$17:$F$30</c:f>
              <c:numCache>
                <c:formatCode>General</c:formatCode>
                <c:ptCount val="14"/>
                <c:pt idx="1">
                  <c:v>228</c:v>
                </c:pt>
                <c:pt idx="2">
                  <c:v>78</c:v>
                </c:pt>
                <c:pt idx="3">
                  <c:v>191</c:v>
                </c:pt>
                <c:pt idx="4">
                  <c:v>178</c:v>
                </c:pt>
                <c:pt idx="5">
                  <c:v>201</c:v>
                </c:pt>
                <c:pt idx="6">
                  <c:v>193</c:v>
                </c:pt>
                <c:pt idx="7">
                  <c:v>257</c:v>
                </c:pt>
                <c:pt idx="8">
                  <c:v>183</c:v>
                </c:pt>
                <c:pt idx="9">
                  <c:v>256</c:v>
                </c:pt>
                <c:pt idx="10">
                  <c:v>180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B85-4204-BA6B-0BDA87DAA8A0}"/>
            </c:ext>
          </c:extLst>
        </c:ser>
        <c:ser>
          <c:idx val="6"/>
          <c:order val="2"/>
          <c:tx>
            <c:strRef>
              <c:f>'Mix Models'!$H$4:$H$5</c:f>
              <c:strCache>
                <c:ptCount val="2"/>
                <c:pt idx="0">
                  <c:v>Opus 4.8</c:v>
                </c:pt>
                <c:pt idx="1">
                  <c:v>Freestyle</c:v>
                </c:pt>
              </c:strCache>
            </c:strRef>
          </c:tx>
          <c:spPr>
            <a:ln w="19050">
              <a:solidFill>
                <a:schemeClr val="accent2"/>
              </a:solidFill>
            </a:ln>
          </c:spPr>
          <c:marker>
            <c:symbol val="none"/>
          </c:marker>
          <c:yVal>
            <c:numRef>
              <c:f>'Mix Models'!$H$17:$H$30</c:f>
              <c:numCache>
                <c:formatCode>General</c:formatCode>
                <c:ptCount val="14"/>
                <c:pt idx="2">
                  <c:v>421</c:v>
                </c:pt>
                <c:pt idx="3">
                  <c:v>224</c:v>
                </c:pt>
                <c:pt idx="4">
                  <c:v>809</c:v>
                </c:pt>
                <c:pt idx="5">
                  <c:v>129</c:v>
                </c:pt>
                <c:pt idx="6">
                  <c:v>39</c:v>
                </c:pt>
                <c:pt idx="7">
                  <c:v>49</c:v>
                </c:pt>
                <c:pt idx="8">
                  <c:v>239</c:v>
                </c:pt>
                <c:pt idx="9">
                  <c:v>248</c:v>
                </c:pt>
                <c:pt idx="10">
                  <c:v>262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B85-4204-BA6B-0BDA87DAA8A0}"/>
            </c:ext>
          </c:extLst>
        </c:ser>
        <c:ser>
          <c:idx val="0"/>
          <c:order val="3"/>
          <c:tx>
            <c:strRef>
              <c:f>'Mix Models'!$J$4:$J$5</c:f>
              <c:strCache>
                <c:ptCount val="2"/>
                <c:pt idx="0">
                  <c:v>Opus 4.8</c:v>
                </c:pt>
                <c:pt idx="1">
                  <c:v>Freestyle</c:v>
                </c:pt>
              </c:strCache>
            </c:strRef>
          </c:tx>
          <c:spPr>
            <a:ln w="19050">
              <a:solidFill>
                <a:schemeClr val="accent2"/>
              </a:solidFill>
            </a:ln>
          </c:spPr>
          <c:marker>
            <c:symbol val="none"/>
          </c:marker>
          <c:yVal>
            <c:numRef>
              <c:f>'Mix Models'!$J$17:$J$30</c:f>
              <c:numCache>
                <c:formatCode>General</c:formatCode>
                <c:ptCount val="14"/>
                <c:pt idx="2">
                  <c:v>345</c:v>
                </c:pt>
                <c:pt idx="3">
                  <c:v>338</c:v>
                </c:pt>
                <c:pt idx="4">
                  <c:v>212</c:v>
                </c:pt>
                <c:pt idx="5">
                  <c:v>153</c:v>
                </c:pt>
                <c:pt idx="6">
                  <c:v>184</c:v>
                </c:pt>
                <c:pt idx="7">
                  <c:v>176</c:v>
                </c:pt>
                <c:pt idx="8">
                  <c:v>179</c:v>
                </c:pt>
                <c:pt idx="9">
                  <c:v>185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6B85-4204-BA6B-0BDA87DAA8A0}"/>
            </c:ext>
          </c:extLst>
        </c:ser>
        <c:ser>
          <c:idx val="7"/>
          <c:order val="4"/>
          <c:tx>
            <c:strRef>
              <c:f>'Mix Models'!$I$4:$I$5</c:f>
              <c:strCache>
                <c:ptCount val="2"/>
                <c:pt idx="0">
                  <c:v>Opus 4.8</c:v>
                </c:pt>
                <c:pt idx="1">
                  <c:v>SE v2</c:v>
                </c:pt>
              </c:strCache>
            </c:strRef>
          </c:tx>
          <c:spPr>
            <a:ln w="19050">
              <a:solidFill>
                <a:schemeClr val="accent4">
                  <a:lumMod val="75000"/>
                </a:schemeClr>
              </a:solidFill>
            </a:ln>
          </c:spPr>
          <c:marker>
            <c:symbol val="none"/>
          </c:marker>
          <c:yVal>
            <c:numRef>
              <c:f>'Mix Models'!$I$17:$I$30</c:f>
              <c:numCache>
                <c:formatCode>General</c:formatCode>
                <c:ptCount val="14"/>
                <c:pt idx="1">
                  <c:v>196</c:v>
                </c:pt>
                <c:pt idx="2">
                  <c:v>113</c:v>
                </c:pt>
                <c:pt idx="3">
                  <c:v>138</c:v>
                </c:pt>
                <c:pt idx="4">
                  <c:v>28</c:v>
                </c:pt>
                <c:pt idx="5">
                  <c:v>46</c:v>
                </c:pt>
                <c:pt idx="6">
                  <c:v>46</c:v>
                </c:pt>
                <c:pt idx="7">
                  <c:v>45</c:v>
                </c:pt>
                <c:pt idx="8">
                  <c:v>32</c:v>
                </c:pt>
                <c:pt idx="9">
                  <c:v>51</c:v>
                </c:pt>
                <c:pt idx="10">
                  <c:v>46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6B85-4204-BA6B-0BDA87DAA8A0}"/>
            </c:ext>
          </c:extLst>
        </c:ser>
        <c:ser>
          <c:idx val="8"/>
          <c:order val="5"/>
          <c:tx>
            <c:strRef>
              <c:f>'Mix Models'!$K$4:$K$5</c:f>
              <c:strCache>
                <c:ptCount val="2"/>
                <c:pt idx="0">
                  <c:v>Opus 4.8</c:v>
                </c:pt>
                <c:pt idx="1">
                  <c:v>SE v2</c:v>
                </c:pt>
              </c:strCache>
            </c:strRef>
          </c:tx>
          <c:spPr>
            <a:ln w="19050">
              <a:solidFill>
                <a:schemeClr val="accent4">
                  <a:lumMod val="75000"/>
                </a:schemeClr>
              </a:solidFill>
            </a:ln>
          </c:spPr>
          <c:marker>
            <c:symbol val="none"/>
          </c:marker>
          <c:yVal>
            <c:numRef>
              <c:f>'Mix Models'!$K$17:$K$30</c:f>
              <c:numCache>
                <c:formatCode>General</c:formatCode>
                <c:ptCount val="14"/>
                <c:pt idx="0">
                  <c:v>515</c:v>
                </c:pt>
                <c:pt idx="1">
                  <c:v>522</c:v>
                </c:pt>
                <c:pt idx="2">
                  <c:v>513</c:v>
                </c:pt>
                <c:pt idx="3">
                  <c:v>542</c:v>
                </c:pt>
                <c:pt idx="4">
                  <c:v>33</c:v>
                </c:pt>
                <c:pt idx="5">
                  <c:v>31</c:v>
                </c:pt>
                <c:pt idx="6">
                  <c:v>47</c:v>
                </c:pt>
                <c:pt idx="7">
                  <c:v>50</c:v>
                </c:pt>
                <c:pt idx="8">
                  <c:v>41</c:v>
                </c:pt>
                <c:pt idx="9">
                  <c:v>48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6B85-4204-BA6B-0BDA87DAA8A0}"/>
            </c:ext>
          </c:extLst>
        </c:ser>
        <c:ser>
          <c:idx val="9"/>
          <c:order val="6"/>
          <c:tx>
            <c:strRef>
              <c:f>'Mix Models'!$L$4:$L$5</c:f>
              <c:strCache>
                <c:ptCount val="2"/>
                <c:pt idx="0">
                  <c:v>Opus 4.8</c:v>
                </c:pt>
                <c:pt idx="1">
                  <c:v>SE v2</c:v>
                </c:pt>
              </c:strCache>
            </c:strRef>
          </c:tx>
          <c:spPr>
            <a:ln w="19050">
              <a:solidFill>
                <a:schemeClr val="accent4">
                  <a:lumMod val="75000"/>
                </a:schemeClr>
              </a:solidFill>
            </a:ln>
          </c:spPr>
          <c:marker>
            <c:symbol val="none"/>
          </c:marker>
          <c:yVal>
            <c:numRef>
              <c:f>'Mix Models'!$L$17:$L$30</c:f>
              <c:numCache>
                <c:formatCode>General</c:formatCode>
                <c:ptCount val="14"/>
                <c:pt idx="1">
                  <c:v>321</c:v>
                </c:pt>
                <c:pt idx="2">
                  <c:v>232</c:v>
                </c:pt>
                <c:pt idx="3">
                  <c:v>122</c:v>
                </c:pt>
                <c:pt idx="4">
                  <c:v>43</c:v>
                </c:pt>
                <c:pt idx="5">
                  <c:v>19</c:v>
                </c:pt>
                <c:pt idx="6">
                  <c:v>22</c:v>
                </c:pt>
                <c:pt idx="7">
                  <c:v>14</c:v>
                </c:pt>
                <c:pt idx="8">
                  <c:v>30</c:v>
                </c:pt>
                <c:pt idx="9">
                  <c:v>15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6B85-4204-BA6B-0BDA87DAA8A0}"/>
            </c:ext>
          </c:extLst>
        </c:ser>
        <c:ser>
          <c:idx val="1"/>
          <c:order val="7"/>
          <c:tx>
            <c:strRef>
              <c:f>'Mix Models'!$M$4:$M$5</c:f>
              <c:strCache>
                <c:ptCount val="2"/>
                <c:pt idx="0">
                  <c:v>Opus 4.8</c:v>
                </c:pt>
                <c:pt idx="1">
                  <c:v>SE v2</c:v>
                </c:pt>
              </c:strCache>
            </c:strRef>
          </c:tx>
          <c:spPr>
            <a:ln w="19050">
              <a:solidFill>
                <a:schemeClr val="accent4">
                  <a:lumMod val="75000"/>
                </a:schemeClr>
              </a:solidFill>
            </a:ln>
          </c:spPr>
          <c:marker>
            <c:symbol val="none"/>
          </c:marker>
          <c:yVal>
            <c:numRef>
              <c:f>'Mix Models'!$M$17:$M$30</c:f>
              <c:numCache>
                <c:formatCode>General</c:formatCode>
                <c:ptCount val="14"/>
                <c:pt idx="1">
                  <c:v>374</c:v>
                </c:pt>
                <c:pt idx="2">
                  <c:v>184</c:v>
                </c:pt>
                <c:pt idx="3">
                  <c:v>167</c:v>
                </c:pt>
                <c:pt idx="4">
                  <c:v>166</c:v>
                </c:pt>
                <c:pt idx="5">
                  <c:v>35</c:v>
                </c:pt>
                <c:pt idx="6">
                  <c:v>36</c:v>
                </c:pt>
                <c:pt idx="7">
                  <c:v>35</c:v>
                </c:pt>
                <c:pt idx="8">
                  <c:v>36</c:v>
                </c:pt>
                <c:pt idx="9">
                  <c:v>36</c:v>
                </c:pt>
                <c:pt idx="10">
                  <c:v>35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6B85-4204-BA6B-0BDA87DAA8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30609439"/>
        <c:axId val="1430609919"/>
      </c:scatterChart>
      <c:valAx>
        <c:axId val="1430609439"/>
        <c:scaling>
          <c:orientation val="minMax"/>
          <c:max val="14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sz="1000" b="0" i="0" u="none" strike="noStrike" kern="1200" baseline="0">
                    <a:solidFill>
                      <a:sysClr val="windowText" lastClr="000000"/>
                    </a:solidFill>
                  </a:rPr>
                  <a:t>Characterization and Operation Runs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0609919"/>
        <c:crosses val="autoZero"/>
        <c:crossBetween val="midCat"/>
        <c:majorUnit val="2"/>
      </c:valAx>
      <c:valAx>
        <c:axId val="1430609919"/>
        <c:scaling>
          <c:orientation val="minMax"/>
          <c:max val="9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Stopping Distance to Wall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0609439"/>
        <c:crosses val="autoZero"/>
        <c:crossBetween val="midCat"/>
      </c:valAx>
    </c:plotArea>
    <c:legend>
      <c:legendPos val="b"/>
      <c:legendEntry>
        <c:idx val="1"/>
        <c:delete val="1"/>
      </c:legendEntry>
      <c:legendEntry>
        <c:idx val="2"/>
        <c:delete val="1"/>
      </c:legendEntry>
      <c:legendEntry>
        <c:idx val="3"/>
        <c:delete val="1"/>
      </c:legendEntry>
      <c:legendEntry>
        <c:idx val="5"/>
        <c:delete val="1"/>
      </c:legendEntry>
      <c:legendEntry>
        <c:idx val="6"/>
        <c:delete val="1"/>
      </c:legendEntry>
      <c:legendEntry>
        <c:idx val="7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ln w="9525">
      <a:solidFill>
        <a:schemeClr val="tx1"/>
      </a:solidFill>
    </a:ln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8"/>
          <c:order val="0"/>
          <c:tx>
            <c:strRef>
              <c:f>'Mix Models'!$D$4:$D$5</c:f>
              <c:strCache>
                <c:ptCount val="2"/>
                <c:pt idx="0">
                  <c:v>Opus 4.8</c:v>
                </c:pt>
                <c:pt idx="1">
                  <c:v>Freestyle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yVal>
            <c:numRef>
              <c:f>'Mix Models'!$D$32:$D$45</c:f>
              <c:numCache>
                <c:formatCode>General</c:formatCode>
                <c:ptCount val="14"/>
                <c:pt idx="8">
                  <c:v>99</c:v>
                </c:pt>
                <c:pt idx="9">
                  <c:v>87</c:v>
                </c:pt>
                <c:pt idx="10">
                  <c:v>95</c:v>
                </c:pt>
                <c:pt idx="11">
                  <c:v>81</c:v>
                </c:pt>
                <c:pt idx="12">
                  <c:v>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381-4711-AA2E-7B91EB2E8EA3}"/>
            </c:ext>
          </c:extLst>
        </c:ser>
        <c:ser>
          <c:idx val="9"/>
          <c:order val="1"/>
          <c:tx>
            <c:strRef>
              <c:f>'Mix Models'!$F$4:$F$5</c:f>
              <c:strCache>
                <c:ptCount val="2"/>
                <c:pt idx="0">
                  <c:v>Opus 4.8</c:v>
                </c:pt>
                <c:pt idx="1">
                  <c:v>Freestyle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yVal>
            <c:numRef>
              <c:f>'Mix Models'!$F$32:$F$45</c:f>
              <c:numCache>
                <c:formatCode>General</c:formatCode>
                <c:ptCount val="14"/>
                <c:pt idx="6">
                  <c:v>193</c:v>
                </c:pt>
                <c:pt idx="7">
                  <c:v>257</c:v>
                </c:pt>
                <c:pt idx="8">
                  <c:v>183</c:v>
                </c:pt>
                <c:pt idx="9">
                  <c:v>256</c:v>
                </c:pt>
                <c:pt idx="10">
                  <c:v>180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381-4711-AA2E-7B91EB2E8EA3}"/>
            </c:ext>
          </c:extLst>
        </c:ser>
        <c:ser>
          <c:idx val="10"/>
          <c:order val="2"/>
          <c:tx>
            <c:strRef>
              <c:f>'Mix Models'!$H$4:$H$5</c:f>
              <c:strCache>
                <c:ptCount val="2"/>
                <c:pt idx="0">
                  <c:v>Opus 4.8</c:v>
                </c:pt>
                <c:pt idx="1">
                  <c:v>Freestyle</c:v>
                </c:pt>
              </c:strCache>
            </c:strRef>
          </c:tx>
          <c:spPr>
            <a:ln w="19050">
              <a:solidFill>
                <a:schemeClr val="accent2"/>
              </a:solidFill>
            </a:ln>
          </c:spPr>
          <c:marker>
            <c:symbol val="none"/>
          </c:marker>
          <c:yVal>
            <c:numRef>
              <c:f>'Mix Models'!$H$32:$H$45</c:f>
              <c:numCache>
                <c:formatCode>General</c:formatCode>
                <c:ptCount val="14"/>
                <c:pt idx="6">
                  <c:v>39</c:v>
                </c:pt>
                <c:pt idx="7">
                  <c:v>49</c:v>
                </c:pt>
                <c:pt idx="8">
                  <c:v>239</c:v>
                </c:pt>
                <c:pt idx="9">
                  <c:v>248</c:v>
                </c:pt>
                <c:pt idx="10">
                  <c:v>262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7381-4711-AA2E-7B91EB2E8EA3}"/>
            </c:ext>
          </c:extLst>
        </c:ser>
        <c:ser>
          <c:idx val="0"/>
          <c:order val="3"/>
          <c:tx>
            <c:strRef>
              <c:f>'Mix Models'!$J$4:$J$5</c:f>
              <c:strCache>
                <c:ptCount val="2"/>
                <c:pt idx="0">
                  <c:v>Opus 4.8</c:v>
                </c:pt>
                <c:pt idx="1">
                  <c:v>Freestyle</c:v>
                </c:pt>
              </c:strCache>
            </c:strRef>
          </c:tx>
          <c:spPr>
            <a:ln w="19050">
              <a:solidFill>
                <a:schemeClr val="accent2"/>
              </a:solidFill>
            </a:ln>
          </c:spPr>
          <c:marker>
            <c:symbol val="none"/>
          </c:marker>
          <c:yVal>
            <c:numRef>
              <c:f>'Mix Models'!$J$32:$J$45</c:f>
              <c:numCache>
                <c:formatCode>General</c:formatCode>
                <c:ptCount val="14"/>
                <c:pt idx="5">
                  <c:v>153</c:v>
                </c:pt>
                <c:pt idx="6">
                  <c:v>184</c:v>
                </c:pt>
                <c:pt idx="7">
                  <c:v>176</c:v>
                </c:pt>
                <c:pt idx="8">
                  <c:v>179</c:v>
                </c:pt>
                <c:pt idx="9">
                  <c:v>185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7381-4711-AA2E-7B91EB2E8EA3}"/>
            </c:ext>
          </c:extLst>
        </c:ser>
        <c:ser>
          <c:idx val="7"/>
          <c:order val="4"/>
          <c:tx>
            <c:strRef>
              <c:f>'Mix Models'!$I$4:$I$5</c:f>
              <c:strCache>
                <c:ptCount val="2"/>
                <c:pt idx="0">
                  <c:v>Opus 4.8</c:v>
                </c:pt>
                <c:pt idx="1">
                  <c:v>SE v2</c:v>
                </c:pt>
              </c:strCache>
            </c:strRef>
          </c:tx>
          <c:spPr>
            <a:ln w="19050">
              <a:solidFill>
                <a:schemeClr val="accent4">
                  <a:lumMod val="75000"/>
                </a:schemeClr>
              </a:solidFill>
            </a:ln>
          </c:spPr>
          <c:marker>
            <c:symbol val="none"/>
          </c:marker>
          <c:yVal>
            <c:numRef>
              <c:f>'Mix Models'!$I$32:$I$45</c:f>
              <c:numCache>
                <c:formatCode>General</c:formatCode>
                <c:ptCount val="14"/>
                <c:pt idx="6">
                  <c:v>46</c:v>
                </c:pt>
                <c:pt idx="7">
                  <c:v>45</c:v>
                </c:pt>
                <c:pt idx="8">
                  <c:v>32</c:v>
                </c:pt>
                <c:pt idx="9">
                  <c:v>51</c:v>
                </c:pt>
                <c:pt idx="10">
                  <c:v>46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7381-4711-AA2E-7B91EB2E8EA3}"/>
            </c:ext>
          </c:extLst>
        </c:ser>
        <c:ser>
          <c:idx val="3"/>
          <c:order val="5"/>
          <c:tx>
            <c:strRef>
              <c:f>'Mix Models'!$K$4:$K$5</c:f>
              <c:strCache>
                <c:ptCount val="2"/>
                <c:pt idx="0">
                  <c:v>Opus 4.8</c:v>
                </c:pt>
                <c:pt idx="1">
                  <c:v>SE v2</c:v>
                </c:pt>
              </c:strCache>
            </c:strRef>
          </c:tx>
          <c:spPr>
            <a:ln w="19050">
              <a:solidFill>
                <a:schemeClr val="accent4">
                  <a:lumMod val="75000"/>
                </a:schemeClr>
              </a:solidFill>
            </a:ln>
          </c:spPr>
          <c:marker>
            <c:symbol val="none"/>
          </c:marker>
          <c:yVal>
            <c:numRef>
              <c:f>'Mix Models'!$K$32:$K$45</c:f>
              <c:numCache>
                <c:formatCode>General</c:formatCode>
                <c:ptCount val="14"/>
                <c:pt idx="5">
                  <c:v>31</c:v>
                </c:pt>
                <c:pt idx="6">
                  <c:v>47</c:v>
                </c:pt>
                <c:pt idx="7">
                  <c:v>50</c:v>
                </c:pt>
                <c:pt idx="8">
                  <c:v>41</c:v>
                </c:pt>
                <c:pt idx="9">
                  <c:v>48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7381-4711-AA2E-7B91EB2E8EA3}"/>
            </c:ext>
          </c:extLst>
        </c:ser>
        <c:ser>
          <c:idx val="1"/>
          <c:order val="6"/>
          <c:tx>
            <c:strRef>
              <c:f>'Mix Models'!$L$4:$L$5</c:f>
              <c:strCache>
                <c:ptCount val="2"/>
                <c:pt idx="0">
                  <c:v>Opus 4.8</c:v>
                </c:pt>
                <c:pt idx="1">
                  <c:v>SE v2</c:v>
                </c:pt>
              </c:strCache>
            </c:strRef>
          </c:tx>
          <c:spPr>
            <a:ln w="19050">
              <a:solidFill>
                <a:schemeClr val="accent4">
                  <a:lumMod val="75000"/>
                </a:schemeClr>
              </a:solidFill>
            </a:ln>
          </c:spPr>
          <c:marker>
            <c:symbol val="none"/>
          </c:marker>
          <c:yVal>
            <c:numRef>
              <c:f>'Mix Models'!$L$32:$L$45</c:f>
              <c:numCache>
                <c:formatCode>General</c:formatCode>
                <c:ptCount val="14"/>
                <c:pt idx="5">
                  <c:v>19</c:v>
                </c:pt>
                <c:pt idx="6">
                  <c:v>22</c:v>
                </c:pt>
                <c:pt idx="7">
                  <c:v>14</c:v>
                </c:pt>
                <c:pt idx="8">
                  <c:v>30</c:v>
                </c:pt>
                <c:pt idx="9">
                  <c:v>15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7381-4711-AA2E-7B91EB2E8EA3}"/>
            </c:ext>
          </c:extLst>
        </c:ser>
        <c:ser>
          <c:idx val="6"/>
          <c:order val="7"/>
          <c:tx>
            <c:strRef>
              <c:f>'Mix Models'!$M$4:$M$5</c:f>
              <c:strCache>
                <c:ptCount val="2"/>
                <c:pt idx="0">
                  <c:v>Opus 4.8</c:v>
                </c:pt>
                <c:pt idx="1">
                  <c:v>SE v2</c:v>
                </c:pt>
              </c:strCache>
            </c:strRef>
          </c:tx>
          <c:spPr>
            <a:ln w="19050">
              <a:solidFill>
                <a:schemeClr val="accent4">
                  <a:lumMod val="75000"/>
                </a:schemeClr>
              </a:solidFill>
            </a:ln>
          </c:spPr>
          <c:marker>
            <c:symbol val="none"/>
          </c:marker>
          <c:yVal>
            <c:numRef>
              <c:f>'Mix Models'!$M$32:$M$45</c:f>
              <c:numCache>
                <c:formatCode>General</c:formatCode>
                <c:ptCount val="14"/>
                <c:pt idx="6">
                  <c:v>36</c:v>
                </c:pt>
                <c:pt idx="7">
                  <c:v>35</c:v>
                </c:pt>
                <c:pt idx="8">
                  <c:v>36</c:v>
                </c:pt>
                <c:pt idx="9">
                  <c:v>36</c:v>
                </c:pt>
                <c:pt idx="10">
                  <c:v>35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7381-4711-AA2E-7B91EB2E8E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30609439"/>
        <c:axId val="1430609919"/>
      </c:scatterChart>
      <c:valAx>
        <c:axId val="1430609439"/>
        <c:scaling>
          <c:orientation val="minMax"/>
          <c:max val="14"/>
          <c:min val="5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b="0"/>
                  <a:t>Operational Runs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0609919"/>
        <c:crosses val="autoZero"/>
        <c:crossBetween val="midCat"/>
        <c:minorUnit val="1"/>
      </c:valAx>
      <c:valAx>
        <c:axId val="1430609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Stopping Distance to Wall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0609439"/>
        <c:crosses val="autoZero"/>
        <c:crossBetween val="midCat"/>
      </c:valAx>
    </c:plotArea>
    <c:legend>
      <c:legendPos val="r"/>
      <c:legendEntry>
        <c:idx val="1"/>
        <c:delete val="1"/>
      </c:legendEntry>
      <c:legendEntry>
        <c:idx val="2"/>
        <c:delete val="1"/>
      </c:legendEntry>
      <c:legendEntry>
        <c:idx val="3"/>
        <c:delete val="1"/>
      </c:legendEntry>
      <c:legendEntry>
        <c:idx val="5"/>
        <c:delete val="1"/>
      </c:legendEntry>
      <c:legendEntry>
        <c:idx val="6"/>
        <c:delete val="1"/>
      </c:legendEntry>
      <c:legendEntry>
        <c:idx val="7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'Mix Models'!$D$4:$D$5</c:f>
              <c:strCache>
                <c:ptCount val="2"/>
                <c:pt idx="0">
                  <c:v>Opus 4.8</c:v>
                </c:pt>
                <c:pt idx="1">
                  <c:v>Freestyle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'Mix Models'!$B$7:$B$10</c15:sqref>
                  </c15:fullRef>
                </c:ext>
              </c:extLst>
              <c:f>('Mix Models'!$B$7:$B$8,'Mix Models'!$B$10)</c:f>
              <c:strCache>
                <c:ptCount val="3"/>
                <c:pt idx="0">
                  <c:v>Human Measurements</c:v>
                </c:pt>
                <c:pt idx="1">
                  <c:v>Wall Contacts</c:v>
                </c:pt>
                <c:pt idx="2">
                  <c:v>Characterization Runs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'Mix Models'!$D$7:$D$10</c15:sqref>
                  </c15:fullRef>
                </c:ext>
              </c:extLst>
              <c:f>('Mix Models'!$D$7:$D$8,'Mix Models'!$D$10)</c:f>
              <c:numCache>
                <c:formatCode>General</c:formatCode>
                <c:ptCount val="3"/>
                <c:pt idx="0">
                  <c:v>0</c:v>
                </c:pt>
                <c:pt idx="1">
                  <c:v>4</c:v>
                </c:pt>
                <c:pt idx="2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80-4AF2-8588-DAA9B1271DDA}"/>
            </c:ext>
          </c:extLst>
        </c:ser>
        <c:ser>
          <c:idx val="3"/>
          <c:order val="1"/>
          <c:tx>
            <c:strRef>
              <c:f>'Mix Models'!$F$4:$F$5</c:f>
              <c:strCache>
                <c:ptCount val="2"/>
                <c:pt idx="0">
                  <c:v>Opus 4.8</c:v>
                </c:pt>
                <c:pt idx="1">
                  <c:v>Freestyle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'Mix Models'!$B$7:$B$10</c15:sqref>
                  </c15:fullRef>
                </c:ext>
              </c:extLst>
              <c:f>('Mix Models'!$B$7:$B$8,'Mix Models'!$B$10)</c:f>
              <c:strCache>
                <c:ptCount val="3"/>
                <c:pt idx="0">
                  <c:v>Human Measurements</c:v>
                </c:pt>
                <c:pt idx="1">
                  <c:v>Wall Contacts</c:v>
                </c:pt>
                <c:pt idx="2">
                  <c:v>Characterization Runs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'Mix Models'!$F$7:$F$10</c15:sqref>
                  </c15:fullRef>
                </c:ext>
              </c:extLst>
              <c:f>('Mix Models'!$F$7:$F$8,'Mix Models'!$F$10)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D80-4AF2-8588-DAA9B1271DDA}"/>
            </c:ext>
          </c:extLst>
        </c:ser>
        <c:ser>
          <c:idx val="5"/>
          <c:order val="2"/>
          <c:tx>
            <c:strRef>
              <c:f>'Mix Models'!$H$4:$H$5</c:f>
              <c:strCache>
                <c:ptCount val="2"/>
                <c:pt idx="0">
                  <c:v>Opus 4.8</c:v>
                </c:pt>
                <c:pt idx="1">
                  <c:v>Freestyle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Human Measurements</c:v>
              </c:pt>
              <c:pt idx="1">
                <c:v>Wall Contacts</c:v>
              </c:pt>
              <c:pt idx="2">
                <c:v>Characterization Runs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'Mix Models'!$H$7:$H$10</c15:sqref>
                  </c15:fullRef>
                </c:ext>
              </c:extLst>
              <c:f>('Mix Models'!$H$7:$H$8,'Mix Models'!$H$10)</c:f>
              <c:numCache>
                <c:formatCode>General</c:formatCode>
                <c:ptCount val="3"/>
                <c:pt idx="0">
                  <c:v>1</c:v>
                </c:pt>
                <c:pt idx="1">
                  <c:v>0</c:v>
                </c:pt>
                <c:pt idx="2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D80-4AF2-8588-DAA9B1271DDA}"/>
            </c:ext>
          </c:extLst>
        </c:ser>
        <c:ser>
          <c:idx val="7"/>
          <c:order val="3"/>
          <c:tx>
            <c:strRef>
              <c:f>'Mix Models'!$J$4:$J$5</c:f>
              <c:strCache>
                <c:ptCount val="2"/>
                <c:pt idx="0">
                  <c:v>Opus 4.8</c:v>
                </c:pt>
                <c:pt idx="1">
                  <c:v>Freestyle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Human Measurements</c:v>
              </c:pt>
              <c:pt idx="1">
                <c:v>Wall Contacts</c:v>
              </c:pt>
              <c:pt idx="2">
                <c:v>Characterization Runs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'Mix Models'!$J$7:$J$10</c15:sqref>
                  </c15:fullRef>
                </c:ext>
              </c:extLst>
              <c:f>('Mix Models'!$J$7:$J$8,'Mix Models'!$J$10)</c:f>
              <c:numCache>
                <c:formatCode>General</c:formatCode>
                <c:ptCount val="3"/>
                <c:pt idx="0">
                  <c:v>0</c:v>
                </c:pt>
                <c:pt idx="1">
                  <c:v>1</c:v>
                </c:pt>
                <c:pt idx="2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D80-4AF2-8588-DAA9B1271DDA}"/>
            </c:ext>
          </c:extLst>
        </c:ser>
        <c:ser>
          <c:idx val="0"/>
          <c:order val="4"/>
          <c:tx>
            <c:strRef>
              <c:f>'Mix Models'!$C$4:$C$5</c:f>
              <c:strCache>
                <c:ptCount val="2"/>
                <c:pt idx="0">
                  <c:v>Opus 4.8</c:v>
                </c:pt>
                <c:pt idx="1">
                  <c:v>SE v0</c:v>
                </c:pt>
              </c:strCache>
            </c:strRef>
          </c:tx>
          <c:spPr>
            <a:solidFill>
              <a:schemeClr val="accent4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'Mix Models'!$B$7:$B$10</c15:sqref>
                  </c15:fullRef>
                </c:ext>
              </c:extLst>
              <c:f>('Mix Models'!$B$7:$B$8,'Mix Models'!$B$10)</c:f>
              <c:strCache>
                <c:ptCount val="3"/>
                <c:pt idx="0">
                  <c:v>Human Measurements</c:v>
                </c:pt>
                <c:pt idx="1">
                  <c:v>Wall Contacts</c:v>
                </c:pt>
                <c:pt idx="2">
                  <c:v>Characterization Runs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'Mix Models'!$C$7:$C$10</c15:sqref>
                  </c15:fullRef>
                </c:ext>
              </c:extLst>
              <c:f>('Mix Models'!$C$7:$C$8,'Mix Models'!$C$10)</c:f>
              <c:numCache>
                <c:formatCode>General</c:formatCode>
                <c:ptCount val="3"/>
                <c:pt idx="0">
                  <c:v>3</c:v>
                </c:pt>
                <c:pt idx="1">
                  <c:v>1</c:v>
                </c:pt>
                <c:pt idx="2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D80-4AF2-8588-DAA9B1271DDA}"/>
            </c:ext>
          </c:extLst>
        </c:ser>
        <c:ser>
          <c:idx val="2"/>
          <c:order val="5"/>
          <c:tx>
            <c:strRef>
              <c:f>'Mix Models'!$E$4:$E$5</c:f>
              <c:strCache>
                <c:ptCount val="2"/>
                <c:pt idx="0">
                  <c:v>Opus 4.8</c:v>
                </c:pt>
                <c:pt idx="1">
                  <c:v>SE v1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'Mix Models'!$B$7:$B$10</c15:sqref>
                  </c15:fullRef>
                </c:ext>
              </c:extLst>
              <c:f>('Mix Models'!$B$7:$B$8,'Mix Models'!$B$10)</c:f>
              <c:strCache>
                <c:ptCount val="3"/>
                <c:pt idx="0">
                  <c:v>Human Measurements</c:v>
                </c:pt>
                <c:pt idx="1">
                  <c:v>Wall Contacts</c:v>
                </c:pt>
                <c:pt idx="2">
                  <c:v>Characterization Runs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'Mix Models'!$E$7:$E$10</c15:sqref>
                  </c15:fullRef>
                </c:ext>
              </c:extLst>
              <c:f>('Mix Models'!$E$7:$E$8,'Mix Models'!$E$10)</c:f>
              <c:numCache>
                <c:formatCode>General</c:formatCode>
                <c:ptCount val="3"/>
                <c:pt idx="0">
                  <c:v>1</c:v>
                </c:pt>
                <c:pt idx="1">
                  <c:v>0</c:v>
                </c:pt>
                <c:pt idx="2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D80-4AF2-8588-DAA9B1271DDA}"/>
            </c:ext>
          </c:extLst>
        </c:ser>
        <c:ser>
          <c:idx val="4"/>
          <c:order val="6"/>
          <c:tx>
            <c:strRef>
              <c:f>'Mix Models'!$G$4:$G$5</c:f>
              <c:strCache>
                <c:ptCount val="2"/>
                <c:pt idx="0">
                  <c:v>Opus 4.8</c:v>
                </c:pt>
                <c:pt idx="1">
                  <c:v>SE v1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Human Measurements</c:v>
              </c:pt>
              <c:pt idx="1">
                <c:v>Wall Contacts</c:v>
              </c:pt>
              <c:pt idx="2">
                <c:v>Characterization Runs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'Mix Models'!$G$7:$G$10</c15:sqref>
                  </c15:fullRef>
                </c:ext>
              </c:extLst>
              <c:f>('Mix Models'!$G$7:$G$8,'Mix Models'!$G$10)</c:f>
              <c:numCache>
                <c:formatCode>General</c:formatCode>
                <c:ptCount val="3"/>
                <c:pt idx="0">
                  <c:v>3</c:v>
                </c:pt>
                <c:pt idx="1">
                  <c:v>0</c:v>
                </c:pt>
                <c:pt idx="2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D80-4AF2-8588-DAA9B1271DDA}"/>
            </c:ext>
          </c:extLst>
        </c:ser>
        <c:ser>
          <c:idx val="6"/>
          <c:order val="7"/>
          <c:tx>
            <c:strRef>
              <c:f>'Mix Models'!$I$4:$I$5</c:f>
              <c:strCache>
                <c:ptCount val="2"/>
                <c:pt idx="0">
                  <c:v>Opus 4.8</c:v>
                </c:pt>
                <c:pt idx="1">
                  <c:v>SE v2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Human Measurements</c:v>
              </c:pt>
              <c:pt idx="1">
                <c:v>Wall Contacts</c:v>
              </c:pt>
              <c:pt idx="2">
                <c:v>Characterization Runs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'Mix Models'!$I$7:$I$10</c15:sqref>
                  </c15:fullRef>
                </c:ext>
              </c:extLst>
              <c:f>('Mix Models'!$I$7:$I$8,'Mix Models'!$I$10)</c:f>
              <c:numCache>
                <c:formatCode>General</c:formatCode>
                <c:ptCount val="3"/>
                <c:pt idx="0">
                  <c:v>4</c:v>
                </c:pt>
                <c:pt idx="1">
                  <c:v>1</c:v>
                </c:pt>
                <c:pt idx="2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7D80-4AF2-8588-DAA9B1271DDA}"/>
            </c:ext>
          </c:extLst>
        </c:ser>
        <c:ser>
          <c:idx val="8"/>
          <c:order val="8"/>
          <c:tx>
            <c:strRef>
              <c:f>'Mix Models'!$K$4:$K$5</c:f>
              <c:strCache>
                <c:ptCount val="2"/>
                <c:pt idx="0">
                  <c:v>Opus 4.8</c:v>
                </c:pt>
                <c:pt idx="1">
                  <c:v>SE v2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Human Measurements</c:v>
              </c:pt>
              <c:pt idx="1">
                <c:v>Wall Contacts</c:v>
              </c:pt>
              <c:pt idx="2">
                <c:v>Characterization Runs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'Mix Models'!$K$7:$K$10</c15:sqref>
                  </c15:fullRef>
                </c:ext>
              </c:extLst>
              <c:f>('Mix Models'!$K$7:$K$8,'Mix Models'!$K$10)</c:f>
              <c:numCache>
                <c:formatCode>General</c:formatCode>
                <c:ptCount val="3"/>
                <c:pt idx="0">
                  <c:v>1</c:v>
                </c:pt>
                <c:pt idx="1">
                  <c:v>0</c:v>
                </c:pt>
                <c:pt idx="2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7D80-4AF2-8588-DAA9B1271DDA}"/>
            </c:ext>
          </c:extLst>
        </c:ser>
        <c:ser>
          <c:idx val="9"/>
          <c:order val="9"/>
          <c:tx>
            <c:strRef>
              <c:f>'Mix Models'!$L$4:$L$5</c:f>
              <c:strCache>
                <c:ptCount val="2"/>
                <c:pt idx="0">
                  <c:v>Opus 4.8</c:v>
                </c:pt>
                <c:pt idx="1">
                  <c:v>SE v2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Human Measurements</c:v>
              </c:pt>
              <c:pt idx="1">
                <c:v>Wall Contacts</c:v>
              </c:pt>
              <c:pt idx="2">
                <c:v>Characterization Runs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'Mix Models'!$L$7:$L$10</c15:sqref>
                  </c15:fullRef>
                </c:ext>
              </c:extLst>
              <c:f>('Mix Models'!$L$7:$L$8,'Mix Models'!$L$10)</c:f>
              <c:numCache>
                <c:formatCode>General</c:formatCode>
                <c:ptCount val="3"/>
                <c:pt idx="0">
                  <c:v>2</c:v>
                </c:pt>
                <c:pt idx="1">
                  <c:v>0</c:v>
                </c:pt>
                <c:pt idx="2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7D80-4AF2-8588-DAA9B1271DDA}"/>
            </c:ext>
          </c:extLst>
        </c:ser>
        <c:ser>
          <c:idx val="10"/>
          <c:order val="10"/>
          <c:tx>
            <c:strRef>
              <c:f>'Mix Models'!$M$4:$M$5</c:f>
              <c:strCache>
                <c:ptCount val="2"/>
                <c:pt idx="0">
                  <c:v>Opus 4.8</c:v>
                </c:pt>
                <c:pt idx="1">
                  <c:v>SE v2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Human Measurements</c:v>
              </c:pt>
              <c:pt idx="1">
                <c:v>Wall Contacts</c:v>
              </c:pt>
              <c:pt idx="2">
                <c:v>Characterization Runs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'Mix Models'!$M$7:$M$10</c15:sqref>
                  </c15:fullRef>
                </c:ext>
              </c:extLst>
              <c:f>('Mix Models'!$M$7:$M$8,'Mix Models'!$M$10)</c:f>
              <c:numCache>
                <c:formatCode>General</c:formatCode>
                <c:ptCount val="3"/>
                <c:pt idx="0">
                  <c:v>1</c:v>
                </c:pt>
                <c:pt idx="1">
                  <c:v>0</c:v>
                </c:pt>
                <c:pt idx="2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7D80-4AF2-8588-DAA9B1271D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3320239"/>
        <c:axId val="83323119"/>
      </c:barChart>
      <c:catAx>
        <c:axId val="833202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323119"/>
        <c:crosses val="autoZero"/>
        <c:auto val="1"/>
        <c:lblAlgn val="ctr"/>
        <c:lblOffset val="100"/>
        <c:noMultiLvlLbl val="0"/>
      </c:catAx>
      <c:valAx>
        <c:axId val="83323119"/>
        <c:scaling>
          <c:orientation val="minMax"/>
          <c:max val="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3202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1"/>
        <c:delete val="1"/>
      </c:legendEntry>
      <c:legendEntry>
        <c:idx val="2"/>
        <c:delete val="1"/>
      </c:legendEntry>
      <c:legendEntry>
        <c:idx val="3"/>
        <c:delete val="1"/>
      </c:legendEntry>
      <c:legendEntry>
        <c:idx val="6"/>
        <c:delete val="1"/>
      </c:legendEntry>
      <c:legendEntry>
        <c:idx val="8"/>
        <c:delete val="1"/>
      </c:legendEntry>
      <c:legendEntry>
        <c:idx val="9"/>
        <c:delete val="1"/>
      </c:legendEntry>
      <c:legendEntry>
        <c:idx val="10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'Mix Models'!$D$4:$D$5</c:f>
              <c:strCache>
                <c:ptCount val="2"/>
                <c:pt idx="0">
                  <c:v>Opus 4.8</c:v>
                </c:pt>
                <c:pt idx="1">
                  <c:v>Freestyle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'Mix Models'!$B$11:$B$15</c15:sqref>
                  </c15:fullRef>
                </c:ext>
              </c:extLst>
              <c:f>('Mix Models'!$B$11:$B$12,'Mix Models'!$B$15)</c:f>
              <c:strCache>
                <c:ptCount val="3"/>
                <c:pt idx="0">
                  <c:v>Avg Stop Dist in Operation (mm)</c:v>
                </c:pt>
                <c:pt idx="1">
                  <c:v>Max-Min in Operation (mm)</c:v>
                </c:pt>
                <c:pt idx="2">
                  <c:v>Error in Operation (mm)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'Mix Models'!$D$11:$D$15</c15:sqref>
                  </c15:fullRef>
                </c:ext>
              </c:extLst>
              <c:f>('Mix Models'!$D$11:$D$12,'Mix Models'!$D$15)</c:f>
              <c:numCache>
                <c:formatCode>0</c:formatCode>
                <c:ptCount val="3"/>
                <c:pt idx="0">
                  <c:v>91.8</c:v>
                </c:pt>
                <c:pt idx="1">
                  <c:v>18</c:v>
                </c:pt>
                <c:pt idx="2" formatCode="0.0">
                  <c:v>27.799999999999997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47-4A0F-90BF-B288653566E7}"/>
            </c:ext>
          </c:extLst>
        </c:ser>
        <c:ser>
          <c:idx val="3"/>
          <c:order val="1"/>
          <c:tx>
            <c:strRef>
              <c:f>'Mix Models'!$F$4:$F$5</c:f>
              <c:strCache>
                <c:ptCount val="2"/>
                <c:pt idx="0">
                  <c:v>Opus 4.8</c:v>
                </c:pt>
                <c:pt idx="1">
                  <c:v>Freestyle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'Mix Models'!$B$11:$B$15</c15:sqref>
                  </c15:fullRef>
                </c:ext>
              </c:extLst>
              <c:f>('Mix Models'!$B$11:$B$12,'Mix Models'!$B$15)</c:f>
              <c:strCache>
                <c:ptCount val="3"/>
                <c:pt idx="0">
                  <c:v>Avg Stop Dist in Operation (mm)</c:v>
                </c:pt>
                <c:pt idx="1">
                  <c:v>Max-Min in Operation (mm)</c:v>
                </c:pt>
                <c:pt idx="2">
                  <c:v>Error in Operation (mm)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'Mix Models'!$F$11:$F$15</c15:sqref>
                  </c15:fullRef>
                </c:ext>
              </c:extLst>
              <c:f>('Mix Models'!$F$11:$F$12,'Mix Models'!$F$15)</c:f>
              <c:numCache>
                <c:formatCode>0</c:formatCode>
                <c:ptCount val="3"/>
                <c:pt idx="0">
                  <c:v>213.8</c:v>
                </c:pt>
                <c:pt idx="1">
                  <c:v>77</c:v>
                </c:pt>
                <c:pt idx="2" formatCode="0.0">
                  <c:v>148.80000000000001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847-4A0F-90BF-B288653566E7}"/>
            </c:ext>
          </c:extLst>
        </c:ser>
        <c:ser>
          <c:idx val="5"/>
          <c:order val="2"/>
          <c:tx>
            <c:strRef>
              <c:f>'Mix Models'!$H$4:$H$5</c:f>
              <c:strCache>
                <c:ptCount val="2"/>
                <c:pt idx="0">
                  <c:v>Opus 4.8</c:v>
                </c:pt>
                <c:pt idx="1">
                  <c:v>Freestyle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Avg Stop Dist in Operation (mm)</c:v>
              </c:pt>
              <c:pt idx="1">
                <c:v>Max-Min in Operation (mm)</c:v>
              </c:pt>
              <c:pt idx="2">
                <c:v>Error in Operation (mm)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'Mix Models'!$H$11:$H$15</c15:sqref>
                  </c15:fullRef>
                </c:ext>
              </c:extLst>
              <c:f>('Mix Models'!$H$11:$H$12,'Mix Models'!$H$15)</c:f>
              <c:numCache>
                <c:formatCode>0</c:formatCode>
                <c:ptCount val="3"/>
                <c:pt idx="0">
                  <c:v>167.4</c:v>
                </c:pt>
                <c:pt idx="1">
                  <c:v>223</c:v>
                </c:pt>
                <c:pt idx="2" formatCode="0.0">
                  <c:v>122.4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847-4A0F-90BF-B288653566E7}"/>
            </c:ext>
          </c:extLst>
        </c:ser>
        <c:ser>
          <c:idx val="7"/>
          <c:order val="3"/>
          <c:tx>
            <c:strRef>
              <c:f>'Mix Models'!$J$4:$J$5</c:f>
              <c:strCache>
                <c:ptCount val="2"/>
                <c:pt idx="0">
                  <c:v>Opus 4.8</c:v>
                </c:pt>
                <c:pt idx="1">
                  <c:v>Freestyle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Avg Stop Dist in Operation (mm)</c:v>
              </c:pt>
              <c:pt idx="1">
                <c:v>Max-Min in Operation (mm)</c:v>
              </c:pt>
              <c:pt idx="2">
                <c:v>Error in Operation (mm)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'Mix Models'!$J$11:$J$15</c15:sqref>
                  </c15:fullRef>
                </c:ext>
              </c:extLst>
              <c:f>('Mix Models'!$J$11:$J$12,'Mix Models'!$J$15)</c:f>
              <c:numCache>
                <c:formatCode>0</c:formatCode>
                <c:ptCount val="3"/>
                <c:pt idx="0">
                  <c:v>175.4</c:v>
                </c:pt>
                <c:pt idx="1">
                  <c:v>32</c:v>
                </c:pt>
                <c:pt idx="2" formatCode="0.0">
                  <c:v>133.4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847-4A0F-90BF-B288653566E7}"/>
            </c:ext>
          </c:extLst>
        </c:ser>
        <c:ser>
          <c:idx val="0"/>
          <c:order val="4"/>
          <c:tx>
            <c:strRef>
              <c:f>'Mix Models'!$C$4:$C$5</c:f>
              <c:strCache>
                <c:ptCount val="2"/>
                <c:pt idx="0">
                  <c:v>Opus 4.8</c:v>
                </c:pt>
                <c:pt idx="1">
                  <c:v>SE v0</c:v>
                </c:pt>
              </c:strCache>
            </c:strRef>
          </c:tx>
          <c:spPr>
            <a:solidFill>
              <a:schemeClr val="accent4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'Mix Models'!$B$11:$B$15</c15:sqref>
                  </c15:fullRef>
                </c:ext>
              </c:extLst>
              <c:f>('Mix Models'!$B$11:$B$12,'Mix Models'!$B$15)</c:f>
              <c:strCache>
                <c:ptCount val="3"/>
                <c:pt idx="0">
                  <c:v>Avg Stop Dist in Operation (mm)</c:v>
                </c:pt>
                <c:pt idx="1">
                  <c:v>Max-Min in Operation (mm)</c:v>
                </c:pt>
                <c:pt idx="2">
                  <c:v>Error in Operation (mm)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'Mix Models'!$C$11:$C$15</c15:sqref>
                  </c15:fullRef>
                </c:ext>
              </c:extLst>
              <c:f>('Mix Models'!$C$11:$C$12,'Mix Models'!$C$15)</c:f>
              <c:numCache>
                <c:formatCode>0</c:formatCode>
                <c:ptCount val="3"/>
                <c:pt idx="0">
                  <c:v>192.4</c:v>
                </c:pt>
                <c:pt idx="1">
                  <c:v>29</c:v>
                </c:pt>
                <c:pt idx="2" formatCode="0.0">
                  <c:v>19.400000000000006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847-4A0F-90BF-B288653566E7}"/>
            </c:ext>
          </c:extLst>
        </c:ser>
        <c:ser>
          <c:idx val="2"/>
          <c:order val="5"/>
          <c:tx>
            <c:strRef>
              <c:f>'Mix Models'!$E$4:$E$5</c:f>
              <c:strCache>
                <c:ptCount val="2"/>
                <c:pt idx="0">
                  <c:v>Opus 4.8</c:v>
                </c:pt>
                <c:pt idx="1">
                  <c:v>SE v1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'Mix Models'!$B$11:$B$15</c15:sqref>
                  </c15:fullRef>
                </c:ext>
              </c:extLst>
              <c:f>('Mix Models'!$B$11:$B$12,'Mix Models'!$B$15)</c:f>
              <c:strCache>
                <c:ptCount val="3"/>
                <c:pt idx="0">
                  <c:v>Avg Stop Dist in Operation (mm)</c:v>
                </c:pt>
                <c:pt idx="1">
                  <c:v>Max-Min in Operation (mm)</c:v>
                </c:pt>
                <c:pt idx="2">
                  <c:v>Error in Operation (mm)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'Mix Models'!$E$11:$E$15</c15:sqref>
                  </c15:fullRef>
                </c:ext>
              </c:extLst>
              <c:f>('Mix Models'!$E$11:$E$12,'Mix Models'!$E$15)</c:f>
              <c:numCache>
                <c:formatCode>0</c:formatCode>
                <c:ptCount val="3"/>
                <c:pt idx="0">
                  <c:v>70.8</c:v>
                </c:pt>
                <c:pt idx="1">
                  <c:v>15</c:v>
                </c:pt>
                <c:pt idx="2" formatCode="0.0">
                  <c:v>0.79999999999999716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847-4A0F-90BF-B288653566E7}"/>
            </c:ext>
          </c:extLst>
        </c:ser>
        <c:ser>
          <c:idx val="4"/>
          <c:order val="6"/>
          <c:tx>
            <c:strRef>
              <c:f>'Mix Models'!$G$4:$G$5</c:f>
              <c:strCache>
                <c:ptCount val="2"/>
                <c:pt idx="0">
                  <c:v>Opus 4.8</c:v>
                </c:pt>
                <c:pt idx="1">
                  <c:v>SE v1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Avg Stop Dist in Operation (mm)</c:v>
              </c:pt>
              <c:pt idx="1">
                <c:v>Max-Min in Operation (mm)</c:v>
              </c:pt>
              <c:pt idx="2">
                <c:v>Error in Operation (mm)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'Mix Models'!$G$11:$G$15</c15:sqref>
                  </c15:fullRef>
                </c:ext>
              </c:extLst>
              <c:f>('Mix Models'!$G$11:$G$12,'Mix Models'!$G$15)</c:f>
              <c:numCache>
                <c:formatCode>0</c:formatCode>
                <c:ptCount val="3"/>
                <c:pt idx="0">
                  <c:v>148</c:v>
                </c:pt>
                <c:pt idx="1">
                  <c:v>22</c:v>
                </c:pt>
                <c:pt idx="2" formatCode="0.0">
                  <c:v>104.5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847-4A0F-90BF-B288653566E7}"/>
            </c:ext>
          </c:extLst>
        </c:ser>
        <c:ser>
          <c:idx val="6"/>
          <c:order val="7"/>
          <c:tx>
            <c:strRef>
              <c:f>'Mix Models'!$I$4:$I$5</c:f>
              <c:strCache>
                <c:ptCount val="2"/>
                <c:pt idx="0">
                  <c:v>Opus 4.8</c:v>
                </c:pt>
                <c:pt idx="1">
                  <c:v>SE v2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Avg Stop Dist in Operation (mm)</c:v>
              </c:pt>
              <c:pt idx="1">
                <c:v>Max-Min in Operation (mm)</c:v>
              </c:pt>
              <c:pt idx="2">
                <c:v>Error in Operation (mm)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'Mix Models'!$I$11:$I$15</c15:sqref>
                  </c15:fullRef>
                </c:ext>
              </c:extLst>
              <c:f>('Mix Models'!$I$11:$I$12,'Mix Models'!$I$15)</c:f>
              <c:numCache>
                <c:formatCode>0</c:formatCode>
                <c:ptCount val="3"/>
                <c:pt idx="0">
                  <c:v>44</c:v>
                </c:pt>
                <c:pt idx="1">
                  <c:v>19</c:v>
                </c:pt>
                <c:pt idx="2" formatCode="0.0">
                  <c:v>-3.5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3847-4A0F-90BF-B288653566E7}"/>
            </c:ext>
          </c:extLst>
        </c:ser>
        <c:ser>
          <c:idx val="8"/>
          <c:order val="8"/>
          <c:tx>
            <c:strRef>
              <c:f>'Mix Models'!$K$4:$K$5</c:f>
              <c:strCache>
                <c:ptCount val="2"/>
                <c:pt idx="0">
                  <c:v>Opus 4.8</c:v>
                </c:pt>
                <c:pt idx="1">
                  <c:v>SE v2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Avg Stop Dist in Operation (mm)</c:v>
              </c:pt>
              <c:pt idx="1">
                <c:v>Max-Min in Operation (mm)</c:v>
              </c:pt>
              <c:pt idx="2">
                <c:v>Error in Operation (mm)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'Mix Models'!$K$11:$K$15</c15:sqref>
                  </c15:fullRef>
                </c:ext>
              </c:extLst>
              <c:f>('Mix Models'!$K$11:$K$12,'Mix Models'!$K$15)</c:f>
              <c:numCache>
                <c:formatCode>0</c:formatCode>
                <c:ptCount val="3"/>
                <c:pt idx="0">
                  <c:v>43.4</c:v>
                </c:pt>
                <c:pt idx="1">
                  <c:v>19</c:v>
                </c:pt>
                <c:pt idx="2" formatCode="0.0">
                  <c:v>-1.7000000000000028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3847-4A0F-90BF-B288653566E7}"/>
            </c:ext>
          </c:extLst>
        </c:ser>
        <c:ser>
          <c:idx val="9"/>
          <c:order val="9"/>
          <c:tx>
            <c:strRef>
              <c:f>'Mix Models'!$L$4:$L$5</c:f>
              <c:strCache>
                <c:ptCount val="2"/>
                <c:pt idx="0">
                  <c:v>Opus 4.8</c:v>
                </c:pt>
                <c:pt idx="1">
                  <c:v>SE v2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Avg Stop Dist in Operation (mm)</c:v>
              </c:pt>
              <c:pt idx="1">
                <c:v>Max-Min in Operation (mm)</c:v>
              </c:pt>
              <c:pt idx="2">
                <c:v>Error in Operation (mm)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'Mix Models'!$L$11:$L$15</c15:sqref>
                  </c15:fullRef>
                </c:ext>
              </c:extLst>
              <c:f>('Mix Models'!$L$11:$L$12,'Mix Models'!$L$15)</c:f>
              <c:numCache>
                <c:formatCode>0</c:formatCode>
                <c:ptCount val="3"/>
                <c:pt idx="0">
                  <c:v>20</c:v>
                </c:pt>
                <c:pt idx="1">
                  <c:v>16</c:v>
                </c:pt>
                <c:pt idx="2" formatCode="0.0">
                  <c:v>-10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3847-4A0F-90BF-B288653566E7}"/>
            </c:ext>
          </c:extLst>
        </c:ser>
        <c:ser>
          <c:idx val="10"/>
          <c:order val="10"/>
          <c:tx>
            <c:strRef>
              <c:f>'Mix Models'!$M$4:$M$5</c:f>
              <c:strCache>
                <c:ptCount val="2"/>
                <c:pt idx="0">
                  <c:v>Opus 4.8</c:v>
                </c:pt>
                <c:pt idx="1">
                  <c:v>SE v2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Avg Stop Dist in Operation (mm)</c:v>
              </c:pt>
              <c:pt idx="1">
                <c:v>Max-Min in Operation (mm)</c:v>
              </c:pt>
              <c:pt idx="2">
                <c:v>Error in Operation (mm)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'Mix Models'!$M$11:$M$15</c15:sqref>
                  </c15:fullRef>
                </c:ext>
              </c:extLst>
              <c:f>('Mix Models'!$M$11:$M$12,'Mix Models'!$M$15)</c:f>
              <c:numCache>
                <c:formatCode>0</c:formatCode>
                <c:ptCount val="3"/>
                <c:pt idx="0">
                  <c:v>35.6</c:v>
                </c:pt>
                <c:pt idx="1">
                  <c:v>1</c:v>
                </c:pt>
                <c:pt idx="2" formatCode="0.0">
                  <c:v>1.6000000000000014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3847-4A0F-90BF-B288653566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3320239"/>
        <c:axId val="83323119"/>
      </c:barChart>
      <c:catAx>
        <c:axId val="833202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323119"/>
        <c:crosses val="autoZero"/>
        <c:auto val="1"/>
        <c:lblAlgn val="ctr"/>
        <c:lblOffset val="100"/>
        <c:noMultiLvlLbl val="0"/>
      </c:catAx>
      <c:valAx>
        <c:axId val="833231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3202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1"/>
        <c:delete val="1"/>
      </c:legendEntry>
      <c:legendEntry>
        <c:idx val="2"/>
        <c:delete val="1"/>
      </c:legendEntry>
      <c:legendEntry>
        <c:idx val="3"/>
        <c:delete val="1"/>
      </c:legendEntry>
      <c:legendEntry>
        <c:idx val="6"/>
        <c:delete val="1"/>
      </c:legendEntry>
      <c:legendEntry>
        <c:idx val="8"/>
        <c:delete val="1"/>
      </c:legendEntry>
      <c:legendEntry>
        <c:idx val="9"/>
        <c:delete val="1"/>
      </c:legendEntry>
      <c:legendEntry>
        <c:idx val="10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3"/>
          <c:order val="0"/>
          <c:tx>
            <c:strRef>
              <c:f>'Mix Models'!$D$4:$D$5</c:f>
              <c:strCache>
                <c:ptCount val="2"/>
                <c:pt idx="0">
                  <c:v>Opus 4.8</c:v>
                </c:pt>
                <c:pt idx="1">
                  <c:v>Freestyle</c:v>
                </c:pt>
              </c:strCache>
            </c:strRef>
          </c:tx>
          <c:spPr>
            <a:ln w="19050" cap="rnd">
              <a:solidFill>
                <a:schemeClr val="accent2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yVal>
            <c:numRef>
              <c:f>'Mix Models'!$D$17:$D$30</c:f>
              <c:numCache>
                <c:formatCode>General</c:formatCode>
                <c:ptCount val="14"/>
                <c:pt idx="5">
                  <c:v>395</c:v>
                </c:pt>
                <c:pt idx="6">
                  <c:v>33</c:v>
                </c:pt>
                <c:pt idx="7">
                  <c:v>38</c:v>
                </c:pt>
                <c:pt idx="8">
                  <c:v>99</c:v>
                </c:pt>
                <c:pt idx="9">
                  <c:v>87</c:v>
                </c:pt>
                <c:pt idx="10">
                  <c:v>95</c:v>
                </c:pt>
                <c:pt idx="11">
                  <c:v>81</c:v>
                </c:pt>
                <c:pt idx="12">
                  <c:v>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E76-4ED1-A2D3-ADBEB76FDB13}"/>
            </c:ext>
          </c:extLst>
        </c:ser>
        <c:ser>
          <c:idx val="5"/>
          <c:order val="1"/>
          <c:tx>
            <c:strRef>
              <c:f>'Mix Models'!$F$4:$F$5</c:f>
              <c:strCache>
                <c:ptCount val="2"/>
                <c:pt idx="0">
                  <c:v>Opus 4.8</c:v>
                </c:pt>
                <c:pt idx="1">
                  <c:v>Freestyle</c:v>
                </c:pt>
              </c:strCache>
            </c:strRef>
          </c:tx>
          <c:spPr>
            <a:ln w="19050" cap="rnd">
              <a:solidFill>
                <a:schemeClr val="accent2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yVal>
            <c:numRef>
              <c:f>'Mix Models'!$F$17:$F$30</c:f>
              <c:numCache>
                <c:formatCode>General</c:formatCode>
                <c:ptCount val="14"/>
                <c:pt idx="1">
                  <c:v>228</c:v>
                </c:pt>
                <c:pt idx="2">
                  <c:v>78</c:v>
                </c:pt>
                <c:pt idx="3">
                  <c:v>191</c:v>
                </c:pt>
                <c:pt idx="4">
                  <c:v>178</c:v>
                </c:pt>
                <c:pt idx="5">
                  <c:v>201</c:v>
                </c:pt>
                <c:pt idx="6">
                  <c:v>193</c:v>
                </c:pt>
                <c:pt idx="7">
                  <c:v>257</c:v>
                </c:pt>
                <c:pt idx="8">
                  <c:v>183</c:v>
                </c:pt>
                <c:pt idx="9">
                  <c:v>256</c:v>
                </c:pt>
                <c:pt idx="10">
                  <c:v>180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E76-4ED1-A2D3-ADBEB76FDB13}"/>
            </c:ext>
          </c:extLst>
        </c:ser>
        <c:ser>
          <c:idx val="6"/>
          <c:order val="2"/>
          <c:tx>
            <c:strRef>
              <c:f>'Mix Models'!$H$4:$H$5</c:f>
              <c:strCache>
                <c:ptCount val="2"/>
                <c:pt idx="0">
                  <c:v>Opus 4.8</c:v>
                </c:pt>
                <c:pt idx="1">
                  <c:v>Freestyle</c:v>
                </c:pt>
              </c:strCache>
            </c:strRef>
          </c:tx>
          <c:spPr>
            <a:ln w="19050">
              <a:solidFill>
                <a:schemeClr val="accent2">
                  <a:alpha val="25000"/>
                </a:schemeClr>
              </a:solidFill>
            </a:ln>
          </c:spPr>
          <c:marker>
            <c:symbol val="none"/>
          </c:marker>
          <c:yVal>
            <c:numRef>
              <c:f>'Mix Models'!$H$17:$H$30</c:f>
              <c:numCache>
                <c:formatCode>General</c:formatCode>
                <c:ptCount val="14"/>
                <c:pt idx="2">
                  <c:v>421</c:v>
                </c:pt>
                <c:pt idx="3">
                  <c:v>224</c:v>
                </c:pt>
                <c:pt idx="4">
                  <c:v>809</c:v>
                </c:pt>
                <c:pt idx="5">
                  <c:v>129</c:v>
                </c:pt>
                <c:pt idx="6">
                  <c:v>39</c:v>
                </c:pt>
                <c:pt idx="7">
                  <c:v>49</c:v>
                </c:pt>
                <c:pt idx="8">
                  <c:v>239</c:v>
                </c:pt>
                <c:pt idx="9">
                  <c:v>248</c:v>
                </c:pt>
                <c:pt idx="10">
                  <c:v>262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FE76-4ED1-A2D3-ADBEB76FDB13}"/>
            </c:ext>
          </c:extLst>
        </c:ser>
        <c:ser>
          <c:idx val="0"/>
          <c:order val="3"/>
          <c:tx>
            <c:strRef>
              <c:f>'Mix Models'!$J$4:$J$5</c:f>
              <c:strCache>
                <c:ptCount val="2"/>
                <c:pt idx="0">
                  <c:v>Opus 4.8</c:v>
                </c:pt>
                <c:pt idx="1">
                  <c:v>Freestyle</c:v>
                </c:pt>
              </c:strCache>
            </c:strRef>
          </c:tx>
          <c:spPr>
            <a:ln w="19050">
              <a:solidFill>
                <a:schemeClr val="accent2">
                  <a:alpha val="25000"/>
                </a:schemeClr>
              </a:solidFill>
            </a:ln>
          </c:spPr>
          <c:marker>
            <c:symbol val="none"/>
          </c:marker>
          <c:yVal>
            <c:numRef>
              <c:f>'Mix Models'!$J$17:$J$30</c:f>
              <c:numCache>
                <c:formatCode>General</c:formatCode>
                <c:ptCount val="14"/>
                <c:pt idx="2">
                  <c:v>345</c:v>
                </c:pt>
                <c:pt idx="3">
                  <c:v>338</c:v>
                </c:pt>
                <c:pt idx="4">
                  <c:v>212</c:v>
                </c:pt>
                <c:pt idx="5">
                  <c:v>153</c:v>
                </c:pt>
                <c:pt idx="6">
                  <c:v>184</c:v>
                </c:pt>
                <c:pt idx="7">
                  <c:v>176</c:v>
                </c:pt>
                <c:pt idx="8">
                  <c:v>179</c:v>
                </c:pt>
                <c:pt idx="9">
                  <c:v>185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FE76-4ED1-A2D3-ADBEB76FDB13}"/>
            </c:ext>
          </c:extLst>
        </c:ser>
        <c:ser>
          <c:idx val="7"/>
          <c:order val="4"/>
          <c:tx>
            <c:strRef>
              <c:f>'Mix Models'!$I$4:$I$5</c:f>
              <c:strCache>
                <c:ptCount val="2"/>
                <c:pt idx="0">
                  <c:v>Opus 4.8</c:v>
                </c:pt>
                <c:pt idx="1">
                  <c:v>SE v2</c:v>
                </c:pt>
              </c:strCache>
            </c:strRef>
          </c:tx>
          <c:spPr>
            <a:ln w="19050">
              <a:solidFill>
                <a:schemeClr val="accent4">
                  <a:lumMod val="75000"/>
                  <a:alpha val="25000"/>
                </a:schemeClr>
              </a:solidFill>
            </a:ln>
          </c:spPr>
          <c:marker>
            <c:symbol val="none"/>
          </c:marker>
          <c:yVal>
            <c:numRef>
              <c:f>'Mix Models'!$I$17:$I$30</c:f>
              <c:numCache>
                <c:formatCode>General</c:formatCode>
                <c:ptCount val="14"/>
                <c:pt idx="1">
                  <c:v>196</c:v>
                </c:pt>
                <c:pt idx="2">
                  <c:v>113</c:v>
                </c:pt>
                <c:pt idx="3">
                  <c:v>138</c:v>
                </c:pt>
                <c:pt idx="4">
                  <c:v>28</c:v>
                </c:pt>
                <c:pt idx="5">
                  <c:v>46</c:v>
                </c:pt>
                <c:pt idx="6">
                  <c:v>46</c:v>
                </c:pt>
                <c:pt idx="7">
                  <c:v>45</c:v>
                </c:pt>
                <c:pt idx="8">
                  <c:v>32</c:v>
                </c:pt>
                <c:pt idx="9">
                  <c:v>51</c:v>
                </c:pt>
                <c:pt idx="10">
                  <c:v>46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FE76-4ED1-A2D3-ADBEB76FDB13}"/>
            </c:ext>
          </c:extLst>
        </c:ser>
        <c:ser>
          <c:idx val="8"/>
          <c:order val="5"/>
          <c:tx>
            <c:strRef>
              <c:f>'Mix Models'!$K$4:$K$5</c:f>
              <c:strCache>
                <c:ptCount val="2"/>
                <c:pt idx="0">
                  <c:v>Opus 4.8</c:v>
                </c:pt>
                <c:pt idx="1">
                  <c:v>SE v2</c:v>
                </c:pt>
              </c:strCache>
            </c:strRef>
          </c:tx>
          <c:spPr>
            <a:ln w="19050">
              <a:solidFill>
                <a:schemeClr val="accent4">
                  <a:lumMod val="75000"/>
                  <a:alpha val="25000"/>
                </a:schemeClr>
              </a:solidFill>
            </a:ln>
          </c:spPr>
          <c:marker>
            <c:symbol val="none"/>
          </c:marker>
          <c:yVal>
            <c:numRef>
              <c:f>'Mix Models'!$K$17:$K$30</c:f>
              <c:numCache>
                <c:formatCode>General</c:formatCode>
                <c:ptCount val="14"/>
                <c:pt idx="0">
                  <c:v>515</c:v>
                </c:pt>
                <c:pt idx="1">
                  <c:v>522</c:v>
                </c:pt>
                <c:pt idx="2">
                  <c:v>513</c:v>
                </c:pt>
                <c:pt idx="3">
                  <c:v>542</c:v>
                </c:pt>
                <c:pt idx="4">
                  <c:v>33</c:v>
                </c:pt>
                <c:pt idx="5">
                  <c:v>31</c:v>
                </c:pt>
                <c:pt idx="6">
                  <c:v>47</c:v>
                </c:pt>
                <c:pt idx="7">
                  <c:v>50</c:v>
                </c:pt>
                <c:pt idx="8">
                  <c:v>41</c:v>
                </c:pt>
                <c:pt idx="9">
                  <c:v>48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FE76-4ED1-A2D3-ADBEB76FDB13}"/>
            </c:ext>
          </c:extLst>
        </c:ser>
        <c:ser>
          <c:idx val="9"/>
          <c:order val="6"/>
          <c:tx>
            <c:strRef>
              <c:f>'Mix Models'!$L$4:$L$5</c:f>
              <c:strCache>
                <c:ptCount val="2"/>
                <c:pt idx="0">
                  <c:v>Opus 4.8</c:v>
                </c:pt>
                <c:pt idx="1">
                  <c:v>SE v2</c:v>
                </c:pt>
              </c:strCache>
            </c:strRef>
          </c:tx>
          <c:spPr>
            <a:ln w="19050">
              <a:solidFill>
                <a:schemeClr val="accent4">
                  <a:lumMod val="75000"/>
                  <a:alpha val="25000"/>
                </a:schemeClr>
              </a:solidFill>
            </a:ln>
          </c:spPr>
          <c:marker>
            <c:symbol val="none"/>
          </c:marker>
          <c:yVal>
            <c:numRef>
              <c:f>'Mix Models'!$L$17:$L$30</c:f>
              <c:numCache>
                <c:formatCode>General</c:formatCode>
                <c:ptCount val="14"/>
                <c:pt idx="1">
                  <c:v>321</c:v>
                </c:pt>
                <c:pt idx="2">
                  <c:v>232</c:v>
                </c:pt>
                <c:pt idx="3">
                  <c:v>122</c:v>
                </c:pt>
                <c:pt idx="4">
                  <c:v>43</c:v>
                </c:pt>
                <c:pt idx="5">
                  <c:v>19</c:v>
                </c:pt>
                <c:pt idx="6">
                  <c:v>22</c:v>
                </c:pt>
                <c:pt idx="7">
                  <c:v>14</c:v>
                </c:pt>
                <c:pt idx="8">
                  <c:v>30</c:v>
                </c:pt>
                <c:pt idx="9">
                  <c:v>15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FE76-4ED1-A2D3-ADBEB76FDB13}"/>
            </c:ext>
          </c:extLst>
        </c:ser>
        <c:ser>
          <c:idx val="1"/>
          <c:order val="7"/>
          <c:tx>
            <c:strRef>
              <c:f>'Mix Models'!$M$4:$M$5</c:f>
              <c:strCache>
                <c:ptCount val="2"/>
                <c:pt idx="0">
                  <c:v>Opus 4.8</c:v>
                </c:pt>
                <c:pt idx="1">
                  <c:v>SE v2</c:v>
                </c:pt>
              </c:strCache>
            </c:strRef>
          </c:tx>
          <c:spPr>
            <a:ln w="19050">
              <a:solidFill>
                <a:schemeClr val="accent4">
                  <a:lumMod val="75000"/>
                  <a:alpha val="25000"/>
                </a:schemeClr>
              </a:solidFill>
            </a:ln>
          </c:spPr>
          <c:marker>
            <c:symbol val="none"/>
          </c:marker>
          <c:yVal>
            <c:numRef>
              <c:f>'Mix Models'!$M$17:$M$30</c:f>
              <c:numCache>
                <c:formatCode>General</c:formatCode>
                <c:ptCount val="14"/>
                <c:pt idx="1">
                  <c:v>374</c:v>
                </c:pt>
                <c:pt idx="2">
                  <c:v>184</c:v>
                </c:pt>
                <c:pt idx="3">
                  <c:v>167</c:v>
                </c:pt>
                <c:pt idx="4">
                  <c:v>166</c:v>
                </c:pt>
                <c:pt idx="5">
                  <c:v>35</c:v>
                </c:pt>
                <c:pt idx="6">
                  <c:v>36</c:v>
                </c:pt>
                <c:pt idx="7">
                  <c:v>35</c:v>
                </c:pt>
                <c:pt idx="8">
                  <c:v>36</c:v>
                </c:pt>
                <c:pt idx="9">
                  <c:v>36</c:v>
                </c:pt>
                <c:pt idx="10">
                  <c:v>35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FE76-4ED1-A2D3-ADBEB76FDB13}"/>
            </c:ext>
          </c:extLst>
        </c:ser>
        <c:ser>
          <c:idx val="4"/>
          <c:order val="8"/>
          <c:tx>
            <c:strRef>
              <c:f>'Mix Models'!$S$4:$S$5</c:f>
              <c:strCache>
                <c:ptCount val="2"/>
                <c:pt idx="0">
                  <c:v>Opus 5</c:v>
                </c:pt>
                <c:pt idx="1">
                  <c:v>Freestyle</c:v>
                </c:pt>
              </c:strCache>
            </c:strRef>
          </c:tx>
          <c:spPr>
            <a:ln w="19050">
              <a:solidFill>
                <a:srgbClr val="994010"/>
              </a:solidFill>
            </a:ln>
          </c:spPr>
          <c:marker>
            <c:symbol val="none"/>
          </c:marker>
          <c:yVal>
            <c:numRef>
              <c:f>'Mix Models'!$S$17:$S$30</c:f>
              <c:numCache>
                <c:formatCode>General</c:formatCode>
                <c:ptCount val="14"/>
                <c:pt idx="2">
                  <c:v>101</c:v>
                </c:pt>
                <c:pt idx="3">
                  <c:v>25</c:v>
                </c:pt>
                <c:pt idx="4">
                  <c:v>3</c:v>
                </c:pt>
                <c:pt idx="5">
                  <c:v>5</c:v>
                </c:pt>
                <c:pt idx="6">
                  <c:v>8</c:v>
                </c:pt>
                <c:pt idx="7">
                  <c:v>9</c:v>
                </c:pt>
                <c:pt idx="8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FE76-4ED1-A2D3-ADBEB76FDB13}"/>
            </c:ext>
          </c:extLst>
        </c:ser>
        <c:ser>
          <c:idx val="11"/>
          <c:order val="9"/>
          <c:tx>
            <c:strRef>
              <c:f>'Mix Models'!$U$4:$U$5</c:f>
              <c:strCache>
                <c:ptCount val="2"/>
                <c:pt idx="0">
                  <c:v>Opus 5</c:v>
                </c:pt>
                <c:pt idx="1">
                  <c:v>Freestyle</c:v>
                </c:pt>
              </c:strCache>
            </c:strRef>
          </c:tx>
          <c:spPr>
            <a:ln w="19050">
              <a:solidFill>
                <a:srgbClr val="994010"/>
              </a:solidFill>
            </a:ln>
          </c:spPr>
          <c:marker>
            <c:symbol val="none"/>
          </c:marker>
          <c:yVal>
            <c:numRef>
              <c:f>'Mix Models'!$U$17:$U$30</c:f>
              <c:numCache>
                <c:formatCode>General</c:formatCode>
                <c:ptCount val="14"/>
                <c:pt idx="0">
                  <c:v>503</c:v>
                </c:pt>
                <c:pt idx="1">
                  <c:v>160</c:v>
                </c:pt>
                <c:pt idx="2">
                  <c:v>151</c:v>
                </c:pt>
                <c:pt idx="3">
                  <c:v>25</c:v>
                </c:pt>
                <c:pt idx="4">
                  <c:v>33</c:v>
                </c:pt>
                <c:pt idx="5">
                  <c:v>19</c:v>
                </c:pt>
                <c:pt idx="6">
                  <c:v>32</c:v>
                </c:pt>
                <c:pt idx="7">
                  <c:v>25</c:v>
                </c:pt>
                <c:pt idx="8">
                  <c:v>35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ADE-4739-94D3-BE243CF23438}"/>
            </c:ext>
          </c:extLst>
        </c:ser>
        <c:ser>
          <c:idx val="13"/>
          <c:order val="10"/>
          <c:tx>
            <c:strRef>
              <c:f>'Mix Models'!$W$4:$W$5</c:f>
              <c:strCache>
                <c:ptCount val="2"/>
                <c:pt idx="0">
                  <c:v>Opus 5</c:v>
                </c:pt>
                <c:pt idx="1">
                  <c:v>Freestyle</c:v>
                </c:pt>
              </c:strCache>
            </c:strRef>
          </c:tx>
          <c:spPr>
            <a:ln w="19050">
              <a:solidFill>
                <a:srgbClr val="994010"/>
              </a:solidFill>
              <a:prstDash val="solid"/>
            </a:ln>
          </c:spPr>
          <c:marker>
            <c:symbol val="none"/>
          </c:marker>
          <c:yVal>
            <c:numRef>
              <c:f>'Mix Models'!$W$17:$W$30</c:f>
              <c:numCache>
                <c:formatCode>General</c:formatCode>
                <c:ptCount val="14"/>
                <c:pt idx="0">
                  <c:v>209</c:v>
                </c:pt>
                <c:pt idx="1">
                  <c:v>215</c:v>
                </c:pt>
                <c:pt idx="2">
                  <c:v>78</c:v>
                </c:pt>
                <c:pt idx="3">
                  <c:v>145</c:v>
                </c:pt>
                <c:pt idx="4">
                  <c:v>148</c:v>
                </c:pt>
                <c:pt idx="5">
                  <c:v>29</c:v>
                </c:pt>
                <c:pt idx="6">
                  <c:v>24</c:v>
                </c:pt>
                <c:pt idx="7">
                  <c:v>27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2EF-48E1-A5D3-513AEEF207F1}"/>
            </c:ext>
          </c:extLst>
        </c:ser>
        <c:ser>
          <c:idx val="15"/>
          <c:order val="11"/>
          <c:tx>
            <c:strRef>
              <c:f>'Mix Models'!$Y$4:$Y$5</c:f>
              <c:strCache>
                <c:ptCount val="2"/>
                <c:pt idx="0">
                  <c:v>Opus 5</c:v>
                </c:pt>
                <c:pt idx="1">
                  <c:v>Freestyle</c:v>
                </c:pt>
              </c:strCache>
            </c:strRef>
          </c:tx>
          <c:spPr>
            <a:ln w="19050">
              <a:solidFill>
                <a:srgbClr val="994010"/>
              </a:solidFill>
              <a:prstDash val="solid"/>
            </a:ln>
          </c:spPr>
          <c:marker>
            <c:symbol val="none"/>
          </c:marker>
          <c:yVal>
            <c:numRef>
              <c:f>'Mix Models'!$Y$17:$Y$30</c:f>
              <c:numCache>
                <c:formatCode>General</c:formatCode>
                <c:ptCount val="14"/>
                <c:pt idx="0">
                  <c:v>447</c:v>
                </c:pt>
                <c:pt idx="1">
                  <c:v>77</c:v>
                </c:pt>
                <c:pt idx="2">
                  <c:v>61</c:v>
                </c:pt>
                <c:pt idx="3">
                  <c:v>255</c:v>
                </c:pt>
                <c:pt idx="4">
                  <c:v>366</c:v>
                </c:pt>
                <c:pt idx="5">
                  <c:v>284</c:v>
                </c:pt>
                <c:pt idx="6">
                  <c:v>271</c:v>
                </c:pt>
                <c:pt idx="7">
                  <c:v>256</c:v>
                </c:pt>
                <c:pt idx="8">
                  <c:v>52</c:v>
                </c:pt>
                <c:pt idx="9">
                  <c:v>275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32EF-48E1-A5D3-513AEEF207F1}"/>
            </c:ext>
          </c:extLst>
        </c:ser>
        <c:ser>
          <c:idx val="2"/>
          <c:order val="12"/>
          <c:tx>
            <c:strRef>
              <c:f>'Mix Models'!$R$4:$R$5</c:f>
              <c:strCache>
                <c:ptCount val="2"/>
                <c:pt idx="0">
                  <c:v>Opus 5</c:v>
                </c:pt>
                <c:pt idx="1">
                  <c:v>SE v2</c:v>
                </c:pt>
              </c:strCache>
            </c:strRef>
          </c:tx>
          <c:spPr>
            <a:ln w="19050">
              <a:solidFill>
                <a:srgbClr val="00B050"/>
              </a:solidFill>
            </a:ln>
          </c:spPr>
          <c:marker>
            <c:symbol val="none"/>
          </c:marker>
          <c:yVal>
            <c:numRef>
              <c:f>'Mix Models'!$R$17:$R$30</c:f>
              <c:numCache>
                <c:formatCode>General</c:formatCode>
                <c:ptCount val="14"/>
                <c:pt idx="0">
                  <c:v>572</c:v>
                </c:pt>
                <c:pt idx="1">
                  <c:v>93</c:v>
                </c:pt>
                <c:pt idx="2">
                  <c:v>31</c:v>
                </c:pt>
                <c:pt idx="3">
                  <c:v>12</c:v>
                </c:pt>
                <c:pt idx="4">
                  <c:v>22</c:v>
                </c:pt>
                <c:pt idx="5">
                  <c:v>24</c:v>
                </c:pt>
                <c:pt idx="6">
                  <c:v>27</c:v>
                </c:pt>
                <c:pt idx="7">
                  <c:v>21</c:v>
                </c:pt>
                <c:pt idx="8">
                  <c:v>21</c:v>
                </c:pt>
                <c:pt idx="9">
                  <c:v>19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FE76-4ED1-A2D3-ADBEB76FDB13}"/>
            </c:ext>
          </c:extLst>
        </c:ser>
        <c:ser>
          <c:idx val="10"/>
          <c:order val="13"/>
          <c:tx>
            <c:strRef>
              <c:f>'Mix Models'!$T$4:$T$5</c:f>
              <c:strCache>
                <c:ptCount val="2"/>
                <c:pt idx="0">
                  <c:v>Opus 5</c:v>
                </c:pt>
                <c:pt idx="1">
                  <c:v>SE v2</c:v>
                </c:pt>
              </c:strCache>
            </c:strRef>
          </c:tx>
          <c:spPr>
            <a:ln w="19050">
              <a:solidFill>
                <a:srgbClr val="00B050"/>
              </a:solidFill>
            </a:ln>
          </c:spPr>
          <c:marker>
            <c:symbol val="none"/>
          </c:marker>
          <c:yVal>
            <c:numRef>
              <c:f>'Mix Models'!$T$17:$T$30</c:f>
              <c:numCache>
                <c:formatCode>General</c:formatCode>
                <c:ptCount val="14"/>
                <c:pt idx="1">
                  <c:v>178</c:v>
                </c:pt>
                <c:pt idx="2">
                  <c:v>178</c:v>
                </c:pt>
                <c:pt idx="3">
                  <c:v>775</c:v>
                </c:pt>
                <c:pt idx="4">
                  <c:v>52</c:v>
                </c:pt>
                <c:pt idx="5">
                  <c:v>43</c:v>
                </c:pt>
                <c:pt idx="6">
                  <c:v>18</c:v>
                </c:pt>
                <c:pt idx="7">
                  <c:v>22</c:v>
                </c:pt>
                <c:pt idx="8">
                  <c:v>34</c:v>
                </c:pt>
                <c:pt idx="9">
                  <c:v>22</c:v>
                </c:pt>
                <c:pt idx="10">
                  <c:v>18</c:v>
                </c:pt>
                <c:pt idx="11">
                  <c:v>37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ADE-4739-94D3-BE243CF23438}"/>
            </c:ext>
          </c:extLst>
        </c:ser>
        <c:ser>
          <c:idx val="12"/>
          <c:order val="14"/>
          <c:tx>
            <c:strRef>
              <c:f>'Mix Models'!$V$4:$V$5</c:f>
              <c:strCache>
                <c:ptCount val="2"/>
                <c:pt idx="0">
                  <c:v>Opus 5</c:v>
                </c:pt>
                <c:pt idx="1">
                  <c:v>SE v2</c:v>
                </c:pt>
              </c:strCache>
            </c:strRef>
          </c:tx>
          <c:spPr>
            <a:ln w="19050">
              <a:solidFill>
                <a:srgbClr val="00B050"/>
              </a:solidFill>
              <a:prstDash val="solid"/>
            </a:ln>
          </c:spPr>
          <c:marker>
            <c:symbol val="none"/>
          </c:marker>
          <c:yVal>
            <c:numRef>
              <c:f>'Mix Models'!$V$17:$V$30</c:f>
              <c:numCache>
                <c:formatCode>General</c:formatCode>
                <c:ptCount val="14"/>
                <c:pt idx="1">
                  <c:v>371</c:v>
                </c:pt>
                <c:pt idx="2">
                  <c:v>212</c:v>
                </c:pt>
                <c:pt idx="3">
                  <c:v>102</c:v>
                </c:pt>
                <c:pt idx="4">
                  <c:v>794</c:v>
                </c:pt>
                <c:pt idx="5">
                  <c:v>199</c:v>
                </c:pt>
                <c:pt idx="6">
                  <c:v>32</c:v>
                </c:pt>
                <c:pt idx="7">
                  <c:v>35</c:v>
                </c:pt>
                <c:pt idx="8">
                  <c:v>31</c:v>
                </c:pt>
                <c:pt idx="9">
                  <c:v>25</c:v>
                </c:pt>
                <c:pt idx="10">
                  <c:v>26</c:v>
                </c:pt>
                <c:pt idx="11">
                  <c:v>32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2EF-48E1-A5D3-513AEEF207F1}"/>
            </c:ext>
          </c:extLst>
        </c:ser>
        <c:ser>
          <c:idx val="14"/>
          <c:order val="15"/>
          <c:tx>
            <c:strRef>
              <c:f>'Mix Models'!$X$4:$X$5</c:f>
              <c:strCache>
                <c:ptCount val="2"/>
                <c:pt idx="0">
                  <c:v>Opus 5</c:v>
                </c:pt>
                <c:pt idx="1">
                  <c:v>SE v2</c:v>
                </c:pt>
              </c:strCache>
            </c:strRef>
          </c:tx>
          <c:spPr>
            <a:ln w="19050">
              <a:solidFill>
                <a:srgbClr val="00B050"/>
              </a:solidFill>
              <a:prstDash val="solid"/>
            </a:ln>
          </c:spPr>
          <c:marker>
            <c:symbol val="none"/>
          </c:marker>
          <c:yVal>
            <c:numRef>
              <c:f>'Mix Models'!$X$17:$X$30</c:f>
              <c:numCache>
                <c:formatCode>General</c:formatCode>
                <c:ptCount val="14"/>
                <c:pt idx="1">
                  <c:v>222</c:v>
                </c:pt>
                <c:pt idx="2">
                  <c:v>787</c:v>
                </c:pt>
                <c:pt idx="3">
                  <c:v>14</c:v>
                </c:pt>
                <c:pt idx="4">
                  <c:v>24</c:v>
                </c:pt>
                <c:pt idx="5">
                  <c:v>29</c:v>
                </c:pt>
                <c:pt idx="6">
                  <c:v>30</c:v>
                </c:pt>
                <c:pt idx="7">
                  <c:v>23</c:v>
                </c:pt>
                <c:pt idx="8">
                  <c:v>27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32EF-48E1-A5D3-513AEEF207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30609439"/>
        <c:axId val="1430609919"/>
      </c:scatterChart>
      <c:valAx>
        <c:axId val="1430609439"/>
        <c:scaling>
          <c:orientation val="minMax"/>
          <c:max val="14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sz="1000" b="0" i="0" u="none" strike="noStrike" kern="1200" baseline="0">
                    <a:solidFill>
                      <a:sysClr val="windowText" lastClr="000000"/>
                    </a:solidFill>
                  </a:rPr>
                  <a:t>Characterization and Operation Runs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0609919"/>
        <c:crosses val="autoZero"/>
        <c:crossBetween val="midCat"/>
      </c:valAx>
      <c:valAx>
        <c:axId val="1430609919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Stopping Distance to Wall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0609439"/>
        <c:crosses val="autoZero"/>
        <c:crossBetween val="midCat"/>
      </c:valAx>
    </c:plotArea>
    <c:legend>
      <c:legendPos val="r"/>
      <c:legendEntry>
        <c:idx val="1"/>
        <c:delete val="1"/>
      </c:legendEntry>
      <c:legendEntry>
        <c:idx val="2"/>
        <c:delete val="1"/>
      </c:legendEntry>
      <c:legendEntry>
        <c:idx val="3"/>
        <c:delete val="1"/>
      </c:legendEntry>
      <c:legendEntry>
        <c:idx val="5"/>
        <c:delete val="1"/>
      </c:legendEntry>
      <c:legendEntry>
        <c:idx val="6"/>
        <c:delete val="1"/>
      </c:legendEntry>
      <c:legendEntry>
        <c:idx val="7"/>
        <c:delete val="1"/>
      </c:legendEntry>
      <c:legendEntry>
        <c:idx val="9"/>
        <c:delete val="1"/>
      </c:legendEntry>
      <c:legendEntry>
        <c:idx val="10"/>
        <c:delete val="1"/>
      </c:legendEntry>
      <c:legendEntry>
        <c:idx val="11"/>
        <c:delete val="1"/>
      </c:legendEntry>
      <c:legendEntry>
        <c:idx val="13"/>
        <c:delete val="1"/>
      </c:legendEntry>
      <c:legendEntry>
        <c:idx val="14"/>
        <c:delete val="1"/>
      </c:legendEntry>
      <c:legendEntry>
        <c:idx val="15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ln w="9525">
      <a:solidFill>
        <a:schemeClr val="tx1"/>
      </a:solidFill>
    </a:ln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3"/>
          <c:order val="0"/>
          <c:tx>
            <c:strRef>
              <c:f>'Mix Models'!$D$4:$D$5</c:f>
              <c:strCache>
                <c:ptCount val="2"/>
                <c:pt idx="0">
                  <c:v>Opus 4.8</c:v>
                </c:pt>
                <c:pt idx="1">
                  <c:v>Freestyle</c:v>
                </c:pt>
              </c:strCache>
            </c:strRef>
          </c:tx>
          <c:spPr>
            <a:ln w="19050" cap="rnd">
              <a:solidFill>
                <a:schemeClr val="accent2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yVal>
            <c:numRef>
              <c:f>'Mix Models'!$D$17:$D$30</c:f>
              <c:numCache>
                <c:formatCode>General</c:formatCode>
                <c:ptCount val="14"/>
                <c:pt idx="5">
                  <c:v>395</c:v>
                </c:pt>
                <c:pt idx="6">
                  <c:v>33</c:v>
                </c:pt>
                <c:pt idx="7">
                  <c:v>38</c:v>
                </c:pt>
                <c:pt idx="8">
                  <c:v>99</c:v>
                </c:pt>
                <c:pt idx="9">
                  <c:v>87</c:v>
                </c:pt>
                <c:pt idx="10">
                  <c:v>95</c:v>
                </c:pt>
                <c:pt idx="11">
                  <c:v>81</c:v>
                </c:pt>
                <c:pt idx="12">
                  <c:v>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C6-4920-ADF1-4195EAC04D10}"/>
            </c:ext>
          </c:extLst>
        </c:ser>
        <c:ser>
          <c:idx val="5"/>
          <c:order val="1"/>
          <c:tx>
            <c:strRef>
              <c:f>'Mix Models'!$F$4:$F$5</c:f>
              <c:strCache>
                <c:ptCount val="2"/>
                <c:pt idx="0">
                  <c:v>Opus 4.8</c:v>
                </c:pt>
                <c:pt idx="1">
                  <c:v>Freestyle</c:v>
                </c:pt>
              </c:strCache>
            </c:strRef>
          </c:tx>
          <c:spPr>
            <a:ln w="19050" cap="rnd">
              <a:solidFill>
                <a:schemeClr val="accent2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yVal>
            <c:numRef>
              <c:f>'Mix Models'!$F$17:$F$30</c:f>
              <c:numCache>
                <c:formatCode>General</c:formatCode>
                <c:ptCount val="14"/>
                <c:pt idx="1">
                  <c:v>228</c:v>
                </c:pt>
                <c:pt idx="2">
                  <c:v>78</c:v>
                </c:pt>
                <c:pt idx="3">
                  <c:v>191</c:v>
                </c:pt>
                <c:pt idx="4">
                  <c:v>178</c:v>
                </c:pt>
                <c:pt idx="5">
                  <c:v>201</c:v>
                </c:pt>
                <c:pt idx="6">
                  <c:v>193</c:v>
                </c:pt>
                <c:pt idx="7">
                  <c:v>257</c:v>
                </c:pt>
                <c:pt idx="8">
                  <c:v>183</c:v>
                </c:pt>
                <c:pt idx="9">
                  <c:v>256</c:v>
                </c:pt>
                <c:pt idx="10">
                  <c:v>180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0C6-4920-ADF1-4195EAC04D10}"/>
            </c:ext>
          </c:extLst>
        </c:ser>
        <c:ser>
          <c:idx val="6"/>
          <c:order val="2"/>
          <c:tx>
            <c:strRef>
              <c:f>'Mix Models'!$H$4:$H$5</c:f>
              <c:strCache>
                <c:ptCount val="2"/>
                <c:pt idx="0">
                  <c:v>Opus 4.8</c:v>
                </c:pt>
                <c:pt idx="1">
                  <c:v>Freestyle</c:v>
                </c:pt>
              </c:strCache>
            </c:strRef>
          </c:tx>
          <c:spPr>
            <a:ln w="19050">
              <a:solidFill>
                <a:schemeClr val="accent2">
                  <a:alpha val="25000"/>
                </a:schemeClr>
              </a:solidFill>
            </a:ln>
          </c:spPr>
          <c:marker>
            <c:symbol val="none"/>
          </c:marker>
          <c:yVal>
            <c:numRef>
              <c:f>'Mix Models'!$H$17:$H$30</c:f>
              <c:numCache>
                <c:formatCode>General</c:formatCode>
                <c:ptCount val="14"/>
                <c:pt idx="2">
                  <c:v>421</c:v>
                </c:pt>
                <c:pt idx="3">
                  <c:v>224</c:v>
                </c:pt>
                <c:pt idx="4">
                  <c:v>809</c:v>
                </c:pt>
                <c:pt idx="5">
                  <c:v>129</c:v>
                </c:pt>
                <c:pt idx="6">
                  <c:v>39</c:v>
                </c:pt>
                <c:pt idx="7">
                  <c:v>49</c:v>
                </c:pt>
                <c:pt idx="8">
                  <c:v>239</c:v>
                </c:pt>
                <c:pt idx="9">
                  <c:v>248</c:v>
                </c:pt>
                <c:pt idx="10">
                  <c:v>262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C6-4920-ADF1-4195EAC04D10}"/>
            </c:ext>
          </c:extLst>
        </c:ser>
        <c:ser>
          <c:idx val="0"/>
          <c:order val="3"/>
          <c:tx>
            <c:strRef>
              <c:f>'Mix Models'!$J$4:$J$5</c:f>
              <c:strCache>
                <c:ptCount val="2"/>
                <c:pt idx="0">
                  <c:v>Opus 4.8</c:v>
                </c:pt>
                <c:pt idx="1">
                  <c:v>Freestyle</c:v>
                </c:pt>
              </c:strCache>
            </c:strRef>
          </c:tx>
          <c:spPr>
            <a:ln w="19050">
              <a:solidFill>
                <a:schemeClr val="accent2">
                  <a:alpha val="25000"/>
                </a:schemeClr>
              </a:solidFill>
            </a:ln>
          </c:spPr>
          <c:marker>
            <c:symbol val="none"/>
          </c:marker>
          <c:yVal>
            <c:numRef>
              <c:f>'Mix Models'!$J$17:$J$30</c:f>
              <c:numCache>
                <c:formatCode>General</c:formatCode>
                <c:ptCount val="14"/>
                <c:pt idx="2">
                  <c:v>345</c:v>
                </c:pt>
                <c:pt idx="3">
                  <c:v>338</c:v>
                </c:pt>
                <c:pt idx="4">
                  <c:v>212</c:v>
                </c:pt>
                <c:pt idx="5">
                  <c:v>153</c:v>
                </c:pt>
                <c:pt idx="6">
                  <c:v>184</c:v>
                </c:pt>
                <c:pt idx="7">
                  <c:v>176</c:v>
                </c:pt>
                <c:pt idx="8">
                  <c:v>179</c:v>
                </c:pt>
                <c:pt idx="9">
                  <c:v>185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40C6-4920-ADF1-4195EAC04D10}"/>
            </c:ext>
          </c:extLst>
        </c:ser>
        <c:ser>
          <c:idx val="7"/>
          <c:order val="4"/>
          <c:tx>
            <c:strRef>
              <c:f>'Mix Models'!$I$4:$I$5</c:f>
              <c:strCache>
                <c:ptCount val="2"/>
                <c:pt idx="0">
                  <c:v>Opus 4.8</c:v>
                </c:pt>
                <c:pt idx="1">
                  <c:v>SE v2</c:v>
                </c:pt>
              </c:strCache>
            </c:strRef>
          </c:tx>
          <c:spPr>
            <a:ln w="19050">
              <a:solidFill>
                <a:schemeClr val="accent4">
                  <a:lumMod val="75000"/>
                  <a:alpha val="25000"/>
                </a:schemeClr>
              </a:solidFill>
            </a:ln>
          </c:spPr>
          <c:marker>
            <c:symbol val="none"/>
          </c:marker>
          <c:yVal>
            <c:numRef>
              <c:f>'Mix Models'!$I$17:$I$30</c:f>
              <c:numCache>
                <c:formatCode>General</c:formatCode>
                <c:ptCount val="14"/>
                <c:pt idx="1">
                  <c:v>196</c:v>
                </c:pt>
                <c:pt idx="2">
                  <c:v>113</c:v>
                </c:pt>
                <c:pt idx="3">
                  <c:v>138</c:v>
                </c:pt>
                <c:pt idx="4">
                  <c:v>28</c:v>
                </c:pt>
                <c:pt idx="5">
                  <c:v>46</c:v>
                </c:pt>
                <c:pt idx="6">
                  <c:v>46</c:v>
                </c:pt>
                <c:pt idx="7">
                  <c:v>45</c:v>
                </c:pt>
                <c:pt idx="8">
                  <c:v>32</c:v>
                </c:pt>
                <c:pt idx="9">
                  <c:v>51</c:v>
                </c:pt>
                <c:pt idx="10">
                  <c:v>46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40C6-4920-ADF1-4195EAC04D10}"/>
            </c:ext>
          </c:extLst>
        </c:ser>
        <c:ser>
          <c:idx val="8"/>
          <c:order val="5"/>
          <c:tx>
            <c:strRef>
              <c:f>'Mix Models'!$K$4:$K$5</c:f>
              <c:strCache>
                <c:ptCount val="2"/>
                <c:pt idx="0">
                  <c:v>Opus 4.8</c:v>
                </c:pt>
                <c:pt idx="1">
                  <c:v>SE v2</c:v>
                </c:pt>
              </c:strCache>
            </c:strRef>
          </c:tx>
          <c:spPr>
            <a:ln w="19050">
              <a:solidFill>
                <a:schemeClr val="accent4">
                  <a:lumMod val="75000"/>
                  <a:alpha val="25000"/>
                </a:schemeClr>
              </a:solidFill>
            </a:ln>
          </c:spPr>
          <c:marker>
            <c:symbol val="none"/>
          </c:marker>
          <c:yVal>
            <c:numRef>
              <c:f>'Mix Models'!$K$17:$K$30</c:f>
              <c:numCache>
                <c:formatCode>General</c:formatCode>
                <c:ptCount val="14"/>
                <c:pt idx="0">
                  <c:v>515</c:v>
                </c:pt>
                <c:pt idx="1">
                  <c:v>522</c:v>
                </c:pt>
                <c:pt idx="2">
                  <c:v>513</c:v>
                </c:pt>
                <c:pt idx="3">
                  <c:v>542</c:v>
                </c:pt>
                <c:pt idx="4">
                  <c:v>33</c:v>
                </c:pt>
                <c:pt idx="5">
                  <c:v>31</c:v>
                </c:pt>
                <c:pt idx="6">
                  <c:v>47</c:v>
                </c:pt>
                <c:pt idx="7">
                  <c:v>50</c:v>
                </c:pt>
                <c:pt idx="8">
                  <c:v>41</c:v>
                </c:pt>
                <c:pt idx="9">
                  <c:v>48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40C6-4920-ADF1-4195EAC04D10}"/>
            </c:ext>
          </c:extLst>
        </c:ser>
        <c:ser>
          <c:idx val="9"/>
          <c:order val="6"/>
          <c:tx>
            <c:strRef>
              <c:f>'Mix Models'!$L$4:$L$5</c:f>
              <c:strCache>
                <c:ptCount val="2"/>
                <c:pt idx="0">
                  <c:v>Opus 4.8</c:v>
                </c:pt>
                <c:pt idx="1">
                  <c:v>SE v2</c:v>
                </c:pt>
              </c:strCache>
            </c:strRef>
          </c:tx>
          <c:spPr>
            <a:ln w="19050">
              <a:solidFill>
                <a:schemeClr val="accent4">
                  <a:lumMod val="75000"/>
                  <a:alpha val="25000"/>
                </a:schemeClr>
              </a:solidFill>
            </a:ln>
          </c:spPr>
          <c:marker>
            <c:symbol val="none"/>
          </c:marker>
          <c:yVal>
            <c:numRef>
              <c:f>'Mix Models'!$L$17:$L$30</c:f>
              <c:numCache>
                <c:formatCode>General</c:formatCode>
                <c:ptCount val="14"/>
                <c:pt idx="1">
                  <c:v>321</c:v>
                </c:pt>
                <c:pt idx="2">
                  <c:v>232</c:v>
                </c:pt>
                <c:pt idx="3">
                  <c:v>122</c:v>
                </c:pt>
                <c:pt idx="4">
                  <c:v>43</c:v>
                </c:pt>
                <c:pt idx="5">
                  <c:v>19</c:v>
                </c:pt>
                <c:pt idx="6">
                  <c:v>22</c:v>
                </c:pt>
                <c:pt idx="7">
                  <c:v>14</c:v>
                </c:pt>
                <c:pt idx="8">
                  <c:v>30</c:v>
                </c:pt>
                <c:pt idx="9">
                  <c:v>15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40C6-4920-ADF1-4195EAC04D10}"/>
            </c:ext>
          </c:extLst>
        </c:ser>
        <c:ser>
          <c:idx val="1"/>
          <c:order val="7"/>
          <c:tx>
            <c:strRef>
              <c:f>'Mix Models'!$M$4:$M$5</c:f>
              <c:strCache>
                <c:ptCount val="2"/>
                <c:pt idx="0">
                  <c:v>Opus 4.8</c:v>
                </c:pt>
                <c:pt idx="1">
                  <c:v>SE v2</c:v>
                </c:pt>
              </c:strCache>
            </c:strRef>
          </c:tx>
          <c:spPr>
            <a:ln w="19050">
              <a:solidFill>
                <a:schemeClr val="accent4">
                  <a:lumMod val="75000"/>
                  <a:alpha val="25000"/>
                </a:schemeClr>
              </a:solidFill>
            </a:ln>
          </c:spPr>
          <c:marker>
            <c:symbol val="none"/>
          </c:marker>
          <c:yVal>
            <c:numRef>
              <c:f>'Mix Models'!$M$17:$M$30</c:f>
              <c:numCache>
                <c:formatCode>General</c:formatCode>
                <c:ptCount val="14"/>
                <c:pt idx="1">
                  <c:v>374</c:v>
                </c:pt>
                <c:pt idx="2">
                  <c:v>184</c:v>
                </c:pt>
                <c:pt idx="3">
                  <c:v>167</c:v>
                </c:pt>
                <c:pt idx="4">
                  <c:v>166</c:v>
                </c:pt>
                <c:pt idx="5">
                  <c:v>35</c:v>
                </c:pt>
                <c:pt idx="6">
                  <c:v>36</c:v>
                </c:pt>
                <c:pt idx="7">
                  <c:v>35</c:v>
                </c:pt>
                <c:pt idx="8">
                  <c:v>36</c:v>
                </c:pt>
                <c:pt idx="9">
                  <c:v>36</c:v>
                </c:pt>
                <c:pt idx="10">
                  <c:v>35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40C6-4920-ADF1-4195EAC04D10}"/>
            </c:ext>
          </c:extLst>
        </c:ser>
        <c:ser>
          <c:idx val="11"/>
          <c:order val="8"/>
          <c:tx>
            <c:strRef>
              <c:f>'Mix Models'!$O$4:$O$5</c:f>
              <c:strCache>
                <c:ptCount val="2"/>
                <c:pt idx="0">
                  <c:v>Fable 5</c:v>
                </c:pt>
                <c:pt idx="1">
                  <c:v>Freestyle</c:v>
                </c:pt>
              </c:strCache>
            </c:strRef>
          </c:tx>
          <c:spPr>
            <a:ln w="19050">
              <a:solidFill>
                <a:srgbClr val="994010"/>
              </a:solidFill>
            </a:ln>
          </c:spPr>
          <c:marker>
            <c:symbol val="none"/>
          </c:marker>
          <c:yVal>
            <c:numRef>
              <c:f>'Mix Models'!$O$17:$O$30</c:f>
              <c:numCache>
                <c:formatCode>General</c:formatCode>
                <c:ptCount val="14"/>
                <c:pt idx="4">
                  <c:v>55</c:v>
                </c:pt>
                <c:pt idx="5">
                  <c:v>136</c:v>
                </c:pt>
                <c:pt idx="6">
                  <c:v>35</c:v>
                </c:pt>
                <c:pt idx="7">
                  <c:v>28</c:v>
                </c:pt>
                <c:pt idx="8">
                  <c:v>133</c:v>
                </c:pt>
                <c:pt idx="9">
                  <c:v>131</c:v>
                </c:pt>
                <c:pt idx="10">
                  <c:v>140</c:v>
                </c:pt>
                <c:pt idx="11">
                  <c:v>136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40C6-4920-ADF1-4195EAC04D10}"/>
            </c:ext>
          </c:extLst>
        </c:ser>
        <c:ser>
          <c:idx val="10"/>
          <c:order val="9"/>
          <c:tx>
            <c:strRef>
              <c:f>'Mix Models'!$N$4:$N$5</c:f>
              <c:strCache>
                <c:ptCount val="2"/>
                <c:pt idx="0">
                  <c:v>Fable 5</c:v>
                </c:pt>
                <c:pt idx="1">
                  <c:v>SE v2</c:v>
                </c:pt>
              </c:strCache>
            </c:strRef>
          </c:tx>
          <c:spPr>
            <a:ln w="19050">
              <a:solidFill>
                <a:srgbClr val="00B050"/>
              </a:solidFill>
            </a:ln>
          </c:spPr>
          <c:marker>
            <c:symbol val="none"/>
          </c:marker>
          <c:yVal>
            <c:numRef>
              <c:f>'Mix Models'!$N$17:$N$30</c:f>
              <c:numCache>
                <c:formatCode>General</c:formatCode>
                <c:ptCount val="14"/>
                <c:pt idx="1">
                  <c:v>218</c:v>
                </c:pt>
                <c:pt idx="2">
                  <c:v>20</c:v>
                </c:pt>
                <c:pt idx="3">
                  <c:v>149</c:v>
                </c:pt>
                <c:pt idx="4">
                  <c:v>147</c:v>
                </c:pt>
                <c:pt idx="5">
                  <c:v>170</c:v>
                </c:pt>
                <c:pt idx="6">
                  <c:v>176</c:v>
                </c:pt>
                <c:pt idx="7">
                  <c:v>166</c:v>
                </c:pt>
                <c:pt idx="8">
                  <c:v>143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40C6-4920-ADF1-4195EAC04D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30609439"/>
        <c:axId val="1430609919"/>
      </c:scatterChart>
      <c:valAx>
        <c:axId val="1430609439"/>
        <c:scaling>
          <c:orientation val="minMax"/>
          <c:max val="14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sz="1000" b="0" i="0" u="none" strike="noStrike" kern="1200" baseline="0">
                    <a:solidFill>
                      <a:sysClr val="windowText" lastClr="000000"/>
                    </a:solidFill>
                  </a:rPr>
                  <a:t>Characterization and Operation Runs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0609919"/>
        <c:crosses val="autoZero"/>
        <c:crossBetween val="midCat"/>
        <c:majorUnit val="2"/>
      </c:valAx>
      <c:valAx>
        <c:axId val="1430609919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Stopping Distance to Wall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0609439"/>
        <c:crosses val="autoZero"/>
        <c:crossBetween val="midCat"/>
      </c:valAx>
    </c:plotArea>
    <c:legend>
      <c:legendPos val="b"/>
      <c:legendEntry>
        <c:idx val="1"/>
        <c:delete val="1"/>
      </c:legendEntry>
      <c:legendEntry>
        <c:idx val="2"/>
        <c:delete val="1"/>
      </c:legendEntry>
      <c:legendEntry>
        <c:idx val="3"/>
        <c:delete val="1"/>
      </c:legendEntry>
      <c:legendEntry>
        <c:idx val="5"/>
        <c:delete val="1"/>
      </c:legendEntry>
      <c:legendEntry>
        <c:idx val="6"/>
        <c:delete val="1"/>
      </c:legendEntry>
      <c:legendEntry>
        <c:idx val="7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ln w="9525">
      <a:solidFill>
        <a:schemeClr val="tx1"/>
      </a:solidFill>
    </a:ln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3"/>
          <c:order val="0"/>
          <c:tx>
            <c:strRef>
              <c:f>'Mix Models'!$D$4:$D$5</c:f>
              <c:strCache>
                <c:ptCount val="2"/>
                <c:pt idx="0">
                  <c:v>Opus 4.8</c:v>
                </c:pt>
                <c:pt idx="1">
                  <c:v>Freestyle</c:v>
                </c:pt>
              </c:strCache>
            </c:strRef>
          </c:tx>
          <c:spPr>
            <a:ln w="19050" cap="rnd">
              <a:solidFill>
                <a:schemeClr val="accent2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yVal>
            <c:numRef>
              <c:f>'Mix Models'!$D$17:$D$30</c:f>
              <c:numCache>
                <c:formatCode>General</c:formatCode>
                <c:ptCount val="14"/>
                <c:pt idx="5">
                  <c:v>395</c:v>
                </c:pt>
                <c:pt idx="6">
                  <c:v>33</c:v>
                </c:pt>
                <c:pt idx="7">
                  <c:v>38</c:v>
                </c:pt>
                <c:pt idx="8">
                  <c:v>99</c:v>
                </c:pt>
                <c:pt idx="9">
                  <c:v>87</c:v>
                </c:pt>
                <c:pt idx="10">
                  <c:v>95</c:v>
                </c:pt>
                <c:pt idx="11">
                  <c:v>81</c:v>
                </c:pt>
                <c:pt idx="12">
                  <c:v>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4D9-42A6-A5B1-D0D2B6B98C81}"/>
            </c:ext>
          </c:extLst>
        </c:ser>
        <c:ser>
          <c:idx val="5"/>
          <c:order val="1"/>
          <c:tx>
            <c:strRef>
              <c:f>'Mix Models'!$F$4:$F$5</c:f>
              <c:strCache>
                <c:ptCount val="2"/>
                <c:pt idx="0">
                  <c:v>Opus 4.8</c:v>
                </c:pt>
                <c:pt idx="1">
                  <c:v>Freestyle</c:v>
                </c:pt>
              </c:strCache>
            </c:strRef>
          </c:tx>
          <c:spPr>
            <a:ln w="19050" cap="rnd">
              <a:solidFill>
                <a:schemeClr val="accent2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yVal>
            <c:numRef>
              <c:f>'Mix Models'!$F$17:$F$30</c:f>
              <c:numCache>
                <c:formatCode>General</c:formatCode>
                <c:ptCount val="14"/>
                <c:pt idx="1">
                  <c:v>228</c:v>
                </c:pt>
                <c:pt idx="2">
                  <c:v>78</c:v>
                </c:pt>
                <c:pt idx="3">
                  <c:v>191</c:v>
                </c:pt>
                <c:pt idx="4">
                  <c:v>178</c:v>
                </c:pt>
                <c:pt idx="5">
                  <c:v>201</c:v>
                </c:pt>
                <c:pt idx="6">
                  <c:v>193</c:v>
                </c:pt>
                <c:pt idx="7">
                  <c:v>257</c:v>
                </c:pt>
                <c:pt idx="8">
                  <c:v>183</c:v>
                </c:pt>
                <c:pt idx="9">
                  <c:v>256</c:v>
                </c:pt>
                <c:pt idx="10">
                  <c:v>180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4D9-42A6-A5B1-D0D2B6B98C81}"/>
            </c:ext>
          </c:extLst>
        </c:ser>
        <c:ser>
          <c:idx val="6"/>
          <c:order val="2"/>
          <c:tx>
            <c:strRef>
              <c:f>'Mix Models'!$H$4:$H$5</c:f>
              <c:strCache>
                <c:ptCount val="2"/>
                <c:pt idx="0">
                  <c:v>Opus 4.8</c:v>
                </c:pt>
                <c:pt idx="1">
                  <c:v>Freestyle</c:v>
                </c:pt>
              </c:strCache>
            </c:strRef>
          </c:tx>
          <c:spPr>
            <a:ln w="19050">
              <a:solidFill>
                <a:schemeClr val="accent2">
                  <a:alpha val="25000"/>
                </a:schemeClr>
              </a:solidFill>
            </a:ln>
          </c:spPr>
          <c:marker>
            <c:symbol val="none"/>
          </c:marker>
          <c:yVal>
            <c:numRef>
              <c:f>'Mix Models'!$H$17:$H$30</c:f>
              <c:numCache>
                <c:formatCode>General</c:formatCode>
                <c:ptCount val="14"/>
                <c:pt idx="2">
                  <c:v>421</c:v>
                </c:pt>
                <c:pt idx="3">
                  <c:v>224</c:v>
                </c:pt>
                <c:pt idx="4">
                  <c:v>809</c:v>
                </c:pt>
                <c:pt idx="5">
                  <c:v>129</c:v>
                </c:pt>
                <c:pt idx="6">
                  <c:v>39</c:v>
                </c:pt>
                <c:pt idx="7">
                  <c:v>49</c:v>
                </c:pt>
                <c:pt idx="8">
                  <c:v>239</c:v>
                </c:pt>
                <c:pt idx="9">
                  <c:v>248</c:v>
                </c:pt>
                <c:pt idx="10">
                  <c:v>262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4D9-42A6-A5B1-D0D2B6B98C81}"/>
            </c:ext>
          </c:extLst>
        </c:ser>
        <c:ser>
          <c:idx val="0"/>
          <c:order val="3"/>
          <c:tx>
            <c:strRef>
              <c:f>'Mix Models'!$J$4:$J$5</c:f>
              <c:strCache>
                <c:ptCount val="2"/>
                <c:pt idx="0">
                  <c:v>Opus 4.8</c:v>
                </c:pt>
                <c:pt idx="1">
                  <c:v>Freestyle</c:v>
                </c:pt>
              </c:strCache>
            </c:strRef>
          </c:tx>
          <c:spPr>
            <a:ln w="19050">
              <a:solidFill>
                <a:schemeClr val="accent2">
                  <a:alpha val="25000"/>
                </a:schemeClr>
              </a:solidFill>
            </a:ln>
          </c:spPr>
          <c:marker>
            <c:symbol val="none"/>
          </c:marker>
          <c:yVal>
            <c:numRef>
              <c:f>'Mix Models'!$J$17:$J$30</c:f>
              <c:numCache>
                <c:formatCode>General</c:formatCode>
                <c:ptCount val="14"/>
                <c:pt idx="2">
                  <c:v>345</c:v>
                </c:pt>
                <c:pt idx="3">
                  <c:v>338</c:v>
                </c:pt>
                <c:pt idx="4">
                  <c:v>212</c:v>
                </c:pt>
                <c:pt idx="5">
                  <c:v>153</c:v>
                </c:pt>
                <c:pt idx="6">
                  <c:v>184</c:v>
                </c:pt>
                <c:pt idx="7">
                  <c:v>176</c:v>
                </c:pt>
                <c:pt idx="8">
                  <c:v>179</c:v>
                </c:pt>
                <c:pt idx="9">
                  <c:v>185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D4D9-42A6-A5B1-D0D2B6B98C81}"/>
            </c:ext>
          </c:extLst>
        </c:ser>
        <c:ser>
          <c:idx val="7"/>
          <c:order val="4"/>
          <c:tx>
            <c:strRef>
              <c:f>'Mix Models'!$I$4:$I$5</c:f>
              <c:strCache>
                <c:ptCount val="2"/>
                <c:pt idx="0">
                  <c:v>Opus 4.8</c:v>
                </c:pt>
                <c:pt idx="1">
                  <c:v>SE v2</c:v>
                </c:pt>
              </c:strCache>
            </c:strRef>
          </c:tx>
          <c:spPr>
            <a:ln w="19050">
              <a:solidFill>
                <a:schemeClr val="accent4">
                  <a:lumMod val="75000"/>
                  <a:alpha val="25000"/>
                </a:schemeClr>
              </a:solidFill>
            </a:ln>
          </c:spPr>
          <c:marker>
            <c:symbol val="none"/>
          </c:marker>
          <c:yVal>
            <c:numRef>
              <c:f>'Mix Models'!$I$17:$I$30</c:f>
              <c:numCache>
                <c:formatCode>General</c:formatCode>
                <c:ptCount val="14"/>
                <c:pt idx="1">
                  <c:v>196</c:v>
                </c:pt>
                <c:pt idx="2">
                  <c:v>113</c:v>
                </c:pt>
                <c:pt idx="3">
                  <c:v>138</c:v>
                </c:pt>
                <c:pt idx="4">
                  <c:v>28</c:v>
                </c:pt>
                <c:pt idx="5">
                  <c:v>46</c:v>
                </c:pt>
                <c:pt idx="6">
                  <c:v>46</c:v>
                </c:pt>
                <c:pt idx="7">
                  <c:v>45</c:v>
                </c:pt>
                <c:pt idx="8">
                  <c:v>32</c:v>
                </c:pt>
                <c:pt idx="9">
                  <c:v>51</c:v>
                </c:pt>
                <c:pt idx="10">
                  <c:v>46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D4D9-42A6-A5B1-D0D2B6B98C81}"/>
            </c:ext>
          </c:extLst>
        </c:ser>
        <c:ser>
          <c:idx val="8"/>
          <c:order val="5"/>
          <c:tx>
            <c:strRef>
              <c:f>'Mix Models'!$K$4:$K$5</c:f>
              <c:strCache>
                <c:ptCount val="2"/>
                <c:pt idx="0">
                  <c:v>Opus 4.8</c:v>
                </c:pt>
                <c:pt idx="1">
                  <c:v>SE v2</c:v>
                </c:pt>
              </c:strCache>
            </c:strRef>
          </c:tx>
          <c:spPr>
            <a:ln w="19050">
              <a:solidFill>
                <a:schemeClr val="accent4">
                  <a:lumMod val="75000"/>
                  <a:alpha val="25000"/>
                </a:schemeClr>
              </a:solidFill>
            </a:ln>
          </c:spPr>
          <c:marker>
            <c:symbol val="none"/>
          </c:marker>
          <c:yVal>
            <c:numRef>
              <c:f>'Mix Models'!$K$17:$K$30</c:f>
              <c:numCache>
                <c:formatCode>General</c:formatCode>
                <c:ptCount val="14"/>
                <c:pt idx="0">
                  <c:v>515</c:v>
                </c:pt>
                <c:pt idx="1">
                  <c:v>522</c:v>
                </c:pt>
                <c:pt idx="2">
                  <c:v>513</c:v>
                </c:pt>
                <c:pt idx="3">
                  <c:v>542</c:v>
                </c:pt>
                <c:pt idx="4">
                  <c:v>33</c:v>
                </c:pt>
                <c:pt idx="5">
                  <c:v>31</c:v>
                </c:pt>
                <c:pt idx="6">
                  <c:v>47</c:v>
                </c:pt>
                <c:pt idx="7">
                  <c:v>50</c:v>
                </c:pt>
                <c:pt idx="8">
                  <c:v>41</c:v>
                </c:pt>
                <c:pt idx="9">
                  <c:v>48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D4D9-42A6-A5B1-D0D2B6B98C81}"/>
            </c:ext>
          </c:extLst>
        </c:ser>
        <c:ser>
          <c:idx val="9"/>
          <c:order val="6"/>
          <c:tx>
            <c:strRef>
              <c:f>'Mix Models'!$L$4:$L$5</c:f>
              <c:strCache>
                <c:ptCount val="2"/>
                <c:pt idx="0">
                  <c:v>Opus 4.8</c:v>
                </c:pt>
                <c:pt idx="1">
                  <c:v>SE v2</c:v>
                </c:pt>
              </c:strCache>
            </c:strRef>
          </c:tx>
          <c:spPr>
            <a:ln w="19050">
              <a:solidFill>
                <a:schemeClr val="accent4">
                  <a:lumMod val="75000"/>
                  <a:alpha val="25000"/>
                </a:schemeClr>
              </a:solidFill>
            </a:ln>
          </c:spPr>
          <c:marker>
            <c:symbol val="none"/>
          </c:marker>
          <c:yVal>
            <c:numRef>
              <c:f>'Mix Models'!$L$17:$L$30</c:f>
              <c:numCache>
                <c:formatCode>General</c:formatCode>
                <c:ptCount val="14"/>
                <c:pt idx="1">
                  <c:v>321</c:v>
                </c:pt>
                <c:pt idx="2">
                  <c:v>232</c:v>
                </c:pt>
                <c:pt idx="3">
                  <c:v>122</c:v>
                </c:pt>
                <c:pt idx="4">
                  <c:v>43</c:v>
                </c:pt>
                <c:pt idx="5">
                  <c:v>19</c:v>
                </c:pt>
                <c:pt idx="6">
                  <c:v>22</c:v>
                </c:pt>
                <c:pt idx="7">
                  <c:v>14</c:v>
                </c:pt>
                <c:pt idx="8">
                  <c:v>30</c:v>
                </c:pt>
                <c:pt idx="9">
                  <c:v>15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D4D9-42A6-A5B1-D0D2B6B98C81}"/>
            </c:ext>
          </c:extLst>
        </c:ser>
        <c:ser>
          <c:idx val="1"/>
          <c:order val="7"/>
          <c:tx>
            <c:strRef>
              <c:f>'Mix Models'!$M$4:$M$5</c:f>
              <c:strCache>
                <c:ptCount val="2"/>
                <c:pt idx="0">
                  <c:v>Opus 4.8</c:v>
                </c:pt>
                <c:pt idx="1">
                  <c:v>SE v2</c:v>
                </c:pt>
              </c:strCache>
            </c:strRef>
          </c:tx>
          <c:spPr>
            <a:ln w="19050">
              <a:solidFill>
                <a:schemeClr val="accent4">
                  <a:lumMod val="75000"/>
                  <a:alpha val="25000"/>
                </a:schemeClr>
              </a:solidFill>
            </a:ln>
          </c:spPr>
          <c:marker>
            <c:symbol val="none"/>
          </c:marker>
          <c:yVal>
            <c:numRef>
              <c:f>'Mix Models'!$M$17:$M$30</c:f>
              <c:numCache>
                <c:formatCode>General</c:formatCode>
                <c:ptCount val="14"/>
                <c:pt idx="1">
                  <c:v>374</c:v>
                </c:pt>
                <c:pt idx="2">
                  <c:v>184</c:v>
                </c:pt>
                <c:pt idx="3">
                  <c:v>167</c:v>
                </c:pt>
                <c:pt idx="4">
                  <c:v>166</c:v>
                </c:pt>
                <c:pt idx="5">
                  <c:v>35</c:v>
                </c:pt>
                <c:pt idx="6">
                  <c:v>36</c:v>
                </c:pt>
                <c:pt idx="7">
                  <c:v>35</c:v>
                </c:pt>
                <c:pt idx="8">
                  <c:v>36</c:v>
                </c:pt>
                <c:pt idx="9">
                  <c:v>36</c:v>
                </c:pt>
                <c:pt idx="10">
                  <c:v>35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D4D9-42A6-A5B1-D0D2B6B98C81}"/>
            </c:ext>
          </c:extLst>
        </c:ser>
        <c:ser>
          <c:idx val="4"/>
          <c:order val="8"/>
          <c:tx>
            <c:strRef>
              <c:f>'Mix Models'!$Q$4:$Q$5</c:f>
              <c:strCache>
                <c:ptCount val="2"/>
                <c:pt idx="0">
                  <c:v>Sonnet 4.6</c:v>
                </c:pt>
                <c:pt idx="1">
                  <c:v>Freestyle</c:v>
                </c:pt>
              </c:strCache>
            </c:strRef>
          </c:tx>
          <c:spPr>
            <a:ln w="19050">
              <a:solidFill>
                <a:srgbClr val="994010"/>
              </a:solidFill>
            </a:ln>
          </c:spPr>
          <c:marker>
            <c:symbol val="none"/>
          </c:marker>
          <c:yVal>
            <c:numRef>
              <c:f>'Mix Models'!$Q$17:$Q$30</c:f>
              <c:numCache>
                <c:formatCode>General</c:formatCode>
                <c:ptCount val="14"/>
                <c:pt idx="3">
                  <c:v>304</c:v>
                </c:pt>
                <c:pt idx="4">
                  <c:v>299</c:v>
                </c:pt>
                <c:pt idx="5">
                  <c:v>851</c:v>
                </c:pt>
                <c:pt idx="6">
                  <c:v>771</c:v>
                </c:pt>
                <c:pt idx="7">
                  <c:v>124</c:v>
                </c:pt>
                <c:pt idx="8">
                  <c:v>129</c:v>
                </c:pt>
                <c:pt idx="9">
                  <c:v>128</c:v>
                </c:pt>
                <c:pt idx="10">
                  <c:v>113</c:v>
                </c:pt>
                <c:pt idx="11">
                  <c:v>127</c:v>
                </c:pt>
                <c:pt idx="12">
                  <c:v>124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D4D9-42A6-A5B1-D0D2B6B98C81}"/>
            </c:ext>
          </c:extLst>
        </c:ser>
        <c:ser>
          <c:idx val="2"/>
          <c:order val="9"/>
          <c:tx>
            <c:strRef>
              <c:f>'Mix Models'!$P$4:$P$5</c:f>
              <c:strCache>
                <c:ptCount val="2"/>
                <c:pt idx="0">
                  <c:v>Sonnet 4.6</c:v>
                </c:pt>
                <c:pt idx="1">
                  <c:v>SE v2</c:v>
                </c:pt>
              </c:strCache>
            </c:strRef>
          </c:tx>
          <c:spPr>
            <a:ln w="19050">
              <a:solidFill>
                <a:srgbClr val="00B050"/>
              </a:solidFill>
            </a:ln>
          </c:spPr>
          <c:marker>
            <c:symbol val="none"/>
          </c:marker>
          <c:yVal>
            <c:numRef>
              <c:f>'Mix Models'!$P$17:$P$30</c:f>
              <c:numCache>
                <c:formatCode>General</c:formatCode>
                <c:ptCount val="14"/>
                <c:pt idx="2">
                  <c:v>320</c:v>
                </c:pt>
                <c:pt idx="3">
                  <c:v>3</c:v>
                </c:pt>
                <c:pt idx="4">
                  <c:v>55</c:v>
                </c:pt>
                <c:pt idx="5">
                  <c:v>19</c:v>
                </c:pt>
                <c:pt idx="6">
                  <c:v>13</c:v>
                </c:pt>
                <c:pt idx="7">
                  <c:v>33</c:v>
                </c:pt>
                <c:pt idx="8">
                  <c:v>24</c:v>
                </c:pt>
                <c:pt idx="9">
                  <c:v>236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D4D9-42A6-A5B1-D0D2B6B98C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30609439"/>
        <c:axId val="1430609919"/>
      </c:scatterChart>
      <c:valAx>
        <c:axId val="1430609439"/>
        <c:scaling>
          <c:orientation val="minMax"/>
          <c:max val="14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sz="1000" b="0" i="0" u="none" strike="noStrike" kern="1200" baseline="0">
                    <a:solidFill>
                      <a:sysClr val="windowText" lastClr="000000"/>
                    </a:solidFill>
                  </a:rPr>
                  <a:t>Characterization and Operation Runs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0609919"/>
        <c:crosses val="autoZero"/>
        <c:crossBetween val="midCat"/>
        <c:majorUnit val="2"/>
      </c:valAx>
      <c:valAx>
        <c:axId val="1430609919"/>
        <c:scaling>
          <c:orientation val="minMax"/>
          <c:max val="9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Stopping Distance to Wall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0609439"/>
        <c:crosses val="autoZero"/>
        <c:crossBetween val="midCat"/>
      </c:valAx>
    </c:plotArea>
    <c:legend>
      <c:legendPos val="b"/>
      <c:legendEntry>
        <c:idx val="1"/>
        <c:delete val="1"/>
      </c:legendEntry>
      <c:legendEntry>
        <c:idx val="2"/>
        <c:delete val="1"/>
      </c:legendEntry>
      <c:legendEntry>
        <c:idx val="3"/>
        <c:delete val="1"/>
      </c:legendEntry>
      <c:legendEntry>
        <c:idx val="5"/>
        <c:delete val="1"/>
      </c:legendEntry>
      <c:legendEntry>
        <c:idx val="6"/>
        <c:delete val="1"/>
      </c:legendEntry>
      <c:legendEntry>
        <c:idx val="7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ln w="9525">
      <a:solidFill>
        <a:schemeClr val="tx1"/>
      </a:solidFill>
    </a:ln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'Mix Models'!$D$4:$D$5</c:f>
              <c:strCache>
                <c:ptCount val="2"/>
                <c:pt idx="0">
                  <c:v>Opus 4.8</c:v>
                </c:pt>
                <c:pt idx="1">
                  <c:v>Freestyle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'Mix Models'!$B$7:$B$10</c15:sqref>
                  </c15:fullRef>
                </c:ext>
              </c:extLst>
              <c:f>('Mix Models'!$B$7:$B$8,'Mix Models'!$B$10)</c:f>
              <c:strCache>
                <c:ptCount val="3"/>
                <c:pt idx="0">
                  <c:v>Human Measurements</c:v>
                </c:pt>
                <c:pt idx="1">
                  <c:v>Wall Contacts</c:v>
                </c:pt>
                <c:pt idx="2">
                  <c:v>Characterization Runs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'Mix Models'!$D$7:$D$10</c15:sqref>
                  </c15:fullRef>
                </c:ext>
              </c:extLst>
              <c:f>('Mix Models'!$D$7:$D$8,'Mix Models'!$D$10)</c:f>
              <c:numCache>
                <c:formatCode>General</c:formatCode>
                <c:ptCount val="3"/>
                <c:pt idx="0">
                  <c:v>0</c:v>
                </c:pt>
                <c:pt idx="1">
                  <c:v>4</c:v>
                </c:pt>
                <c:pt idx="2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A83-45EE-93BC-E0D423E10216}"/>
            </c:ext>
          </c:extLst>
        </c:ser>
        <c:ser>
          <c:idx val="3"/>
          <c:order val="1"/>
          <c:tx>
            <c:strRef>
              <c:f>'Mix Models'!$F$4:$F$5</c:f>
              <c:strCache>
                <c:ptCount val="2"/>
                <c:pt idx="0">
                  <c:v>Opus 4.8</c:v>
                </c:pt>
                <c:pt idx="1">
                  <c:v>Freestyle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'Mix Models'!$B$7:$B$10</c15:sqref>
                  </c15:fullRef>
                </c:ext>
              </c:extLst>
              <c:f>('Mix Models'!$B$7:$B$8,'Mix Models'!$B$10)</c:f>
              <c:strCache>
                <c:ptCount val="3"/>
                <c:pt idx="0">
                  <c:v>Human Measurements</c:v>
                </c:pt>
                <c:pt idx="1">
                  <c:v>Wall Contacts</c:v>
                </c:pt>
                <c:pt idx="2">
                  <c:v>Characterization Runs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'Mix Models'!$F$7:$F$10</c15:sqref>
                  </c15:fullRef>
                </c:ext>
              </c:extLst>
              <c:f>('Mix Models'!$F$7:$F$8,'Mix Models'!$F$10)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A83-45EE-93BC-E0D423E10216}"/>
            </c:ext>
          </c:extLst>
        </c:ser>
        <c:ser>
          <c:idx val="5"/>
          <c:order val="2"/>
          <c:tx>
            <c:strRef>
              <c:f>'Mix Models'!$H$4:$H$5</c:f>
              <c:strCache>
                <c:ptCount val="2"/>
                <c:pt idx="0">
                  <c:v>Opus 4.8</c:v>
                </c:pt>
                <c:pt idx="1">
                  <c:v>Freestyle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Human Measurements</c:v>
              </c:pt>
              <c:pt idx="1">
                <c:v>Wall Contacts</c:v>
              </c:pt>
              <c:pt idx="2">
                <c:v>Characterization Runs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'Mix Models'!$H$7:$H$10</c15:sqref>
                  </c15:fullRef>
                </c:ext>
              </c:extLst>
              <c:f>('Mix Models'!$H$7:$H$8,'Mix Models'!$H$10)</c:f>
              <c:numCache>
                <c:formatCode>General</c:formatCode>
                <c:ptCount val="3"/>
                <c:pt idx="0">
                  <c:v>1</c:v>
                </c:pt>
                <c:pt idx="1">
                  <c:v>0</c:v>
                </c:pt>
                <c:pt idx="2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A83-45EE-93BC-E0D423E10216}"/>
            </c:ext>
          </c:extLst>
        </c:ser>
        <c:ser>
          <c:idx val="7"/>
          <c:order val="3"/>
          <c:tx>
            <c:strRef>
              <c:f>'Mix Models'!$J$4:$J$5</c:f>
              <c:strCache>
                <c:ptCount val="2"/>
                <c:pt idx="0">
                  <c:v>Opus 4.8</c:v>
                </c:pt>
                <c:pt idx="1">
                  <c:v>Freestyle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Human Measurements</c:v>
              </c:pt>
              <c:pt idx="1">
                <c:v>Wall Contacts</c:v>
              </c:pt>
              <c:pt idx="2">
                <c:v>Characterization Runs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'Mix Models'!$J$7:$J$10</c15:sqref>
                  </c15:fullRef>
                </c:ext>
              </c:extLst>
              <c:f>('Mix Models'!$J$7:$J$8,'Mix Models'!$J$10)</c:f>
              <c:numCache>
                <c:formatCode>General</c:formatCode>
                <c:ptCount val="3"/>
                <c:pt idx="0">
                  <c:v>0</c:v>
                </c:pt>
                <c:pt idx="1">
                  <c:v>1</c:v>
                </c:pt>
                <c:pt idx="2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A83-45EE-93BC-E0D423E10216}"/>
            </c:ext>
          </c:extLst>
        </c:ser>
        <c:ser>
          <c:idx val="6"/>
          <c:order val="4"/>
          <c:tx>
            <c:strRef>
              <c:f>'Mix Models'!$I$4:$I$5</c:f>
              <c:strCache>
                <c:ptCount val="2"/>
                <c:pt idx="0">
                  <c:v>Opus 4.8</c:v>
                </c:pt>
                <c:pt idx="1">
                  <c:v>SE v2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Human Measurements</c:v>
              </c:pt>
              <c:pt idx="1">
                <c:v>Wall Contacts</c:v>
              </c:pt>
              <c:pt idx="2">
                <c:v>Characterization Runs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'Mix Models'!$I$7:$I$10</c15:sqref>
                  </c15:fullRef>
                </c:ext>
              </c:extLst>
              <c:f>('Mix Models'!$I$7:$I$8,'Mix Models'!$I$10)</c:f>
              <c:numCache>
                <c:formatCode>General</c:formatCode>
                <c:ptCount val="3"/>
                <c:pt idx="0">
                  <c:v>4</c:v>
                </c:pt>
                <c:pt idx="1">
                  <c:v>1</c:v>
                </c:pt>
                <c:pt idx="2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A83-45EE-93BC-E0D423E10216}"/>
            </c:ext>
          </c:extLst>
        </c:ser>
        <c:ser>
          <c:idx val="8"/>
          <c:order val="5"/>
          <c:tx>
            <c:strRef>
              <c:f>'Mix Models'!$K$4:$K$5</c:f>
              <c:strCache>
                <c:ptCount val="2"/>
                <c:pt idx="0">
                  <c:v>Opus 4.8</c:v>
                </c:pt>
                <c:pt idx="1">
                  <c:v>SE v2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Human Measurements</c:v>
              </c:pt>
              <c:pt idx="1">
                <c:v>Wall Contacts</c:v>
              </c:pt>
              <c:pt idx="2">
                <c:v>Characterization Runs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'Mix Models'!$K$7:$K$10</c15:sqref>
                  </c15:fullRef>
                </c:ext>
              </c:extLst>
              <c:f>('Mix Models'!$K$7:$K$8,'Mix Models'!$K$10)</c:f>
              <c:numCache>
                <c:formatCode>General</c:formatCode>
                <c:ptCount val="3"/>
                <c:pt idx="0">
                  <c:v>1</c:v>
                </c:pt>
                <c:pt idx="1">
                  <c:v>0</c:v>
                </c:pt>
                <c:pt idx="2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A83-45EE-93BC-E0D423E10216}"/>
            </c:ext>
          </c:extLst>
        </c:ser>
        <c:ser>
          <c:idx val="9"/>
          <c:order val="6"/>
          <c:tx>
            <c:strRef>
              <c:f>'Mix Models'!$L$4:$L$5</c:f>
              <c:strCache>
                <c:ptCount val="2"/>
                <c:pt idx="0">
                  <c:v>Opus 4.8</c:v>
                </c:pt>
                <c:pt idx="1">
                  <c:v>SE v2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Human Measurements</c:v>
              </c:pt>
              <c:pt idx="1">
                <c:v>Wall Contacts</c:v>
              </c:pt>
              <c:pt idx="2">
                <c:v>Characterization Runs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'Mix Models'!$L$7:$L$10</c15:sqref>
                  </c15:fullRef>
                </c:ext>
              </c:extLst>
              <c:f>('Mix Models'!$L$7:$L$8,'Mix Models'!$L$10)</c:f>
              <c:numCache>
                <c:formatCode>General</c:formatCode>
                <c:ptCount val="3"/>
                <c:pt idx="0">
                  <c:v>2</c:v>
                </c:pt>
                <c:pt idx="1">
                  <c:v>0</c:v>
                </c:pt>
                <c:pt idx="2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A83-45EE-93BC-E0D423E10216}"/>
            </c:ext>
          </c:extLst>
        </c:ser>
        <c:ser>
          <c:idx val="10"/>
          <c:order val="7"/>
          <c:tx>
            <c:strRef>
              <c:f>'Mix Models'!$M$4:$M$5</c:f>
              <c:strCache>
                <c:ptCount val="2"/>
                <c:pt idx="0">
                  <c:v>Opus 4.8</c:v>
                </c:pt>
                <c:pt idx="1">
                  <c:v>SE v2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Human Measurements</c:v>
              </c:pt>
              <c:pt idx="1">
                <c:v>Wall Contacts</c:v>
              </c:pt>
              <c:pt idx="2">
                <c:v>Characterization Runs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'Mix Models'!$M$7:$M$10</c15:sqref>
                  </c15:fullRef>
                </c:ext>
              </c:extLst>
              <c:f>('Mix Models'!$M$7:$M$8,'Mix Models'!$M$10)</c:f>
              <c:numCache>
                <c:formatCode>General</c:formatCode>
                <c:ptCount val="3"/>
                <c:pt idx="0">
                  <c:v>1</c:v>
                </c:pt>
                <c:pt idx="1">
                  <c:v>0</c:v>
                </c:pt>
                <c:pt idx="2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3A83-45EE-93BC-E0D423E10216}"/>
            </c:ext>
          </c:extLst>
        </c:ser>
        <c:ser>
          <c:idx val="2"/>
          <c:order val="8"/>
          <c:tx>
            <c:strRef>
              <c:f>'Mix Models'!$O$4:$O$5</c:f>
              <c:strCache>
                <c:ptCount val="2"/>
                <c:pt idx="0">
                  <c:v>Fable 5</c:v>
                </c:pt>
                <c:pt idx="1">
                  <c:v>Freestyle</c:v>
                </c:pt>
              </c:strCache>
            </c:strRef>
          </c:tx>
          <c:spPr>
            <a:solidFill>
              <a:srgbClr val="994010"/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Human Measurements</c:v>
              </c:pt>
              <c:pt idx="1">
                <c:v>Wall Contacts</c:v>
              </c:pt>
              <c:pt idx="2">
                <c:v>Characterization Runs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'Mix Models'!$O$7:$O$10</c15:sqref>
                  </c15:fullRef>
                </c:ext>
              </c:extLst>
              <c:f>('Mix Models'!$O$7:$O$8,'Mix Models'!$O$10)</c:f>
              <c:numCache>
                <c:formatCode>General</c:formatCode>
                <c:ptCount val="3"/>
                <c:pt idx="0">
                  <c:v>0</c:v>
                </c:pt>
                <c:pt idx="1">
                  <c:v>3</c:v>
                </c:pt>
                <c:pt idx="2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3A83-45EE-93BC-E0D423E10216}"/>
            </c:ext>
          </c:extLst>
        </c:ser>
        <c:ser>
          <c:idx val="0"/>
          <c:order val="9"/>
          <c:tx>
            <c:strRef>
              <c:f>'Mix Models'!$N$4:$N$5</c:f>
              <c:strCache>
                <c:ptCount val="2"/>
                <c:pt idx="0">
                  <c:v>Fable 5</c:v>
                </c:pt>
                <c:pt idx="1">
                  <c:v>SE v2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Human Measurements</c:v>
              </c:pt>
              <c:pt idx="1">
                <c:v>Wall Contacts</c:v>
              </c:pt>
              <c:pt idx="2">
                <c:v>Characterization Runs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'Mix Models'!$N$7:$N$10</c15:sqref>
                  </c15:fullRef>
                </c:ext>
              </c:extLst>
              <c:f>('Mix Models'!$N$7:$N$8,'Mix Models'!$N$10)</c:f>
              <c:numCache>
                <c:formatCode>General</c:formatCode>
                <c:ptCount val="3"/>
                <c:pt idx="0">
                  <c:v>2</c:v>
                </c:pt>
                <c:pt idx="1">
                  <c:v>0</c:v>
                </c:pt>
                <c:pt idx="2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3A83-45EE-93BC-E0D423E102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3320239"/>
        <c:axId val="83323119"/>
      </c:barChart>
      <c:catAx>
        <c:axId val="833202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323119"/>
        <c:crosses val="autoZero"/>
        <c:auto val="1"/>
        <c:lblAlgn val="ctr"/>
        <c:lblOffset val="100"/>
        <c:noMultiLvlLbl val="0"/>
      </c:catAx>
      <c:valAx>
        <c:axId val="833231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3202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1"/>
        <c:delete val="1"/>
      </c:legendEntry>
      <c:legendEntry>
        <c:idx val="2"/>
        <c:delete val="1"/>
      </c:legendEntry>
      <c:legendEntry>
        <c:idx val="3"/>
        <c:delete val="1"/>
      </c:legendEntry>
      <c:legendEntry>
        <c:idx val="5"/>
        <c:delete val="1"/>
      </c:legendEntry>
      <c:legendEntry>
        <c:idx val="6"/>
        <c:delete val="1"/>
      </c:legendEntry>
      <c:legendEntry>
        <c:idx val="7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'Mix Models'!$D$4:$D$5</c:f>
              <c:strCache>
                <c:ptCount val="2"/>
                <c:pt idx="0">
                  <c:v>Opus 4.8</c:v>
                </c:pt>
                <c:pt idx="1">
                  <c:v>Freestyle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'Mix Models'!$B$11:$B$15</c15:sqref>
                  </c15:fullRef>
                </c:ext>
              </c:extLst>
              <c:f>('Mix Models'!$B$11:$B$12,'Mix Models'!$B$15)</c:f>
              <c:strCache>
                <c:ptCount val="3"/>
                <c:pt idx="0">
                  <c:v>Avg Stop Dist in Operation (mm)</c:v>
                </c:pt>
                <c:pt idx="1">
                  <c:v>Max-Min in Operation (mm)</c:v>
                </c:pt>
                <c:pt idx="2">
                  <c:v>Error in Operation (mm)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'Mix Models'!$D$11:$D$15</c15:sqref>
                  </c15:fullRef>
                </c:ext>
              </c:extLst>
              <c:f>('Mix Models'!$D$11:$D$12,'Mix Models'!$D$15)</c:f>
              <c:numCache>
                <c:formatCode>0</c:formatCode>
                <c:ptCount val="3"/>
                <c:pt idx="0">
                  <c:v>91.8</c:v>
                </c:pt>
                <c:pt idx="1">
                  <c:v>18</c:v>
                </c:pt>
                <c:pt idx="2" formatCode="0.0">
                  <c:v>27.799999999999997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4B-47DE-BC79-6C9246239925}"/>
            </c:ext>
          </c:extLst>
        </c:ser>
        <c:ser>
          <c:idx val="3"/>
          <c:order val="1"/>
          <c:tx>
            <c:strRef>
              <c:f>'Mix Models'!$F$4:$F$5</c:f>
              <c:strCache>
                <c:ptCount val="2"/>
                <c:pt idx="0">
                  <c:v>Opus 4.8</c:v>
                </c:pt>
                <c:pt idx="1">
                  <c:v>Freestyle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'Mix Models'!$B$11:$B$15</c15:sqref>
                  </c15:fullRef>
                </c:ext>
              </c:extLst>
              <c:f>('Mix Models'!$B$11:$B$12,'Mix Models'!$B$15)</c:f>
              <c:strCache>
                <c:ptCount val="3"/>
                <c:pt idx="0">
                  <c:v>Avg Stop Dist in Operation (mm)</c:v>
                </c:pt>
                <c:pt idx="1">
                  <c:v>Max-Min in Operation (mm)</c:v>
                </c:pt>
                <c:pt idx="2">
                  <c:v>Error in Operation (mm)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'Mix Models'!$F$11:$F$15</c15:sqref>
                  </c15:fullRef>
                </c:ext>
              </c:extLst>
              <c:f>('Mix Models'!$F$11:$F$12,'Mix Models'!$F$15)</c:f>
              <c:numCache>
                <c:formatCode>0</c:formatCode>
                <c:ptCount val="3"/>
                <c:pt idx="0">
                  <c:v>213.8</c:v>
                </c:pt>
                <c:pt idx="1">
                  <c:v>77</c:v>
                </c:pt>
                <c:pt idx="2" formatCode="0.0">
                  <c:v>148.80000000000001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04B-47DE-BC79-6C9246239925}"/>
            </c:ext>
          </c:extLst>
        </c:ser>
        <c:ser>
          <c:idx val="5"/>
          <c:order val="2"/>
          <c:tx>
            <c:strRef>
              <c:f>'Mix Models'!$H$4:$H$5</c:f>
              <c:strCache>
                <c:ptCount val="2"/>
                <c:pt idx="0">
                  <c:v>Opus 4.8</c:v>
                </c:pt>
                <c:pt idx="1">
                  <c:v>Freestyle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Avg Stop Dist in Operation (mm)</c:v>
              </c:pt>
              <c:pt idx="1">
                <c:v>Max-Min in Operation (mm)</c:v>
              </c:pt>
              <c:pt idx="2">
                <c:v>Error in Operation (mm)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'Mix Models'!$H$11:$H$15</c15:sqref>
                  </c15:fullRef>
                </c:ext>
              </c:extLst>
              <c:f>('Mix Models'!$H$11:$H$12,'Mix Models'!$H$15)</c:f>
              <c:numCache>
                <c:formatCode>0</c:formatCode>
                <c:ptCount val="3"/>
                <c:pt idx="0">
                  <c:v>167.4</c:v>
                </c:pt>
                <c:pt idx="1">
                  <c:v>223</c:v>
                </c:pt>
                <c:pt idx="2" formatCode="0.0">
                  <c:v>122.4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04B-47DE-BC79-6C9246239925}"/>
            </c:ext>
          </c:extLst>
        </c:ser>
        <c:ser>
          <c:idx val="7"/>
          <c:order val="3"/>
          <c:tx>
            <c:strRef>
              <c:f>'Mix Models'!$J$4:$J$5</c:f>
              <c:strCache>
                <c:ptCount val="2"/>
                <c:pt idx="0">
                  <c:v>Opus 4.8</c:v>
                </c:pt>
                <c:pt idx="1">
                  <c:v>Freestyle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Avg Stop Dist in Operation (mm)</c:v>
              </c:pt>
              <c:pt idx="1">
                <c:v>Max-Min in Operation (mm)</c:v>
              </c:pt>
              <c:pt idx="2">
                <c:v>Error in Operation (mm)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'Mix Models'!$J$11:$J$15</c15:sqref>
                  </c15:fullRef>
                </c:ext>
              </c:extLst>
              <c:f>('Mix Models'!$J$11:$J$12,'Mix Models'!$J$15)</c:f>
              <c:numCache>
                <c:formatCode>0</c:formatCode>
                <c:ptCount val="3"/>
                <c:pt idx="0">
                  <c:v>175.4</c:v>
                </c:pt>
                <c:pt idx="1">
                  <c:v>32</c:v>
                </c:pt>
                <c:pt idx="2" formatCode="0.0">
                  <c:v>133.4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04B-47DE-BC79-6C9246239925}"/>
            </c:ext>
          </c:extLst>
        </c:ser>
        <c:ser>
          <c:idx val="6"/>
          <c:order val="4"/>
          <c:tx>
            <c:strRef>
              <c:f>'Mix Models'!$I$4:$I$5</c:f>
              <c:strCache>
                <c:ptCount val="2"/>
                <c:pt idx="0">
                  <c:v>Opus 4.8</c:v>
                </c:pt>
                <c:pt idx="1">
                  <c:v>SE v2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Avg Stop Dist in Operation (mm)</c:v>
              </c:pt>
              <c:pt idx="1">
                <c:v>Max-Min in Operation (mm)</c:v>
              </c:pt>
              <c:pt idx="2">
                <c:v>Error in Operation (mm)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'Mix Models'!$I$11:$I$15</c15:sqref>
                  </c15:fullRef>
                </c:ext>
              </c:extLst>
              <c:f>('Mix Models'!$I$11:$I$12,'Mix Models'!$I$15)</c:f>
              <c:numCache>
                <c:formatCode>0</c:formatCode>
                <c:ptCount val="3"/>
                <c:pt idx="0">
                  <c:v>44</c:v>
                </c:pt>
                <c:pt idx="1">
                  <c:v>19</c:v>
                </c:pt>
                <c:pt idx="2" formatCode="0.0">
                  <c:v>-3.5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04B-47DE-BC79-6C9246239925}"/>
            </c:ext>
          </c:extLst>
        </c:ser>
        <c:ser>
          <c:idx val="8"/>
          <c:order val="5"/>
          <c:tx>
            <c:strRef>
              <c:f>'Mix Models'!$K$4:$K$5</c:f>
              <c:strCache>
                <c:ptCount val="2"/>
                <c:pt idx="0">
                  <c:v>Opus 4.8</c:v>
                </c:pt>
                <c:pt idx="1">
                  <c:v>SE v2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Avg Stop Dist in Operation (mm)</c:v>
              </c:pt>
              <c:pt idx="1">
                <c:v>Max-Min in Operation (mm)</c:v>
              </c:pt>
              <c:pt idx="2">
                <c:v>Error in Operation (mm)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'Mix Models'!$K$11:$K$15</c15:sqref>
                  </c15:fullRef>
                </c:ext>
              </c:extLst>
              <c:f>('Mix Models'!$K$11:$K$12,'Mix Models'!$K$15)</c:f>
              <c:numCache>
                <c:formatCode>0</c:formatCode>
                <c:ptCount val="3"/>
                <c:pt idx="0">
                  <c:v>43.4</c:v>
                </c:pt>
                <c:pt idx="1">
                  <c:v>19</c:v>
                </c:pt>
                <c:pt idx="2" formatCode="0.0">
                  <c:v>-1.7000000000000028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04B-47DE-BC79-6C9246239925}"/>
            </c:ext>
          </c:extLst>
        </c:ser>
        <c:ser>
          <c:idx val="9"/>
          <c:order val="6"/>
          <c:tx>
            <c:strRef>
              <c:f>'Mix Models'!$L$4:$L$5</c:f>
              <c:strCache>
                <c:ptCount val="2"/>
                <c:pt idx="0">
                  <c:v>Opus 4.8</c:v>
                </c:pt>
                <c:pt idx="1">
                  <c:v>SE v2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Avg Stop Dist in Operation (mm)</c:v>
              </c:pt>
              <c:pt idx="1">
                <c:v>Max-Min in Operation (mm)</c:v>
              </c:pt>
              <c:pt idx="2">
                <c:v>Error in Operation (mm)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'Mix Models'!$L$11:$L$15</c15:sqref>
                  </c15:fullRef>
                </c:ext>
              </c:extLst>
              <c:f>('Mix Models'!$L$11:$L$12,'Mix Models'!$L$15)</c:f>
              <c:numCache>
                <c:formatCode>0</c:formatCode>
                <c:ptCount val="3"/>
                <c:pt idx="0">
                  <c:v>20</c:v>
                </c:pt>
                <c:pt idx="1">
                  <c:v>16</c:v>
                </c:pt>
                <c:pt idx="2" formatCode="0.0">
                  <c:v>-10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04B-47DE-BC79-6C9246239925}"/>
            </c:ext>
          </c:extLst>
        </c:ser>
        <c:ser>
          <c:idx val="10"/>
          <c:order val="7"/>
          <c:tx>
            <c:strRef>
              <c:f>'Mix Models'!$M$4:$M$5</c:f>
              <c:strCache>
                <c:ptCount val="2"/>
                <c:pt idx="0">
                  <c:v>Opus 4.8</c:v>
                </c:pt>
                <c:pt idx="1">
                  <c:v>SE v2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Avg Stop Dist in Operation (mm)</c:v>
              </c:pt>
              <c:pt idx="1">
                <c:v>Max-Min in Operation (mm)</c:v>
              </c:pt>
              <c:pt idx="2">
                <c:v>Error in Operation (mm)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'Mix Models'!$M$11:$M$15</c15:sqref>
                  </c15:fullRef>
                </c:ext>
              </c:extLst>
              <c:f>('Mix Models'!$M$11:$M$12,'Mix Models'!$M$15)</c:f>
              <c:numCache>
                <c:formatCode>0</c:formatCode>
                <c:ptCount val="3"/>
                <c:pt idx="0">
                  <c:v>35.6</c:v>
                </c:pt>
                <c:pt idx="1">
                  <c:v>1</c:v>
                </c:pt>
                <c:pt idx="2" formatCode="0.0">
                  <c:v>1.6000000000000014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204B-47DE-BC79-6C9246239925}"/>
            </c:ext>
          </c:extLst>
        </c:ser>
        <c:ser>
          <c:idx val="0"/>
          <c:order val="8"/>
          <c:tx>
            <c:strRef>
              <c:f>'Mix Models'!$O$4:$O$5</c:f>
              <c:strCache>
                <c:ptCount val="2"/>
                <c:pt idx="0">
                  <c:v>Fable 5</c:v>
                </c:pt>
                <c:pt idx="1">
                  <c:v>Freestyle</c:v>
                </c:pt>
              </c:strCache>
            </c:strRef>
          </c:tx>
          <c:spPr>
            <a:solidFill>
              <a:srgbClr val="994010"/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Avg Stop Dist in Operation (mm)</c:v>
              </c:pt>
              <c:pt idx="1">
                <c:v>Max-Min in Operation (mm)</c:v>
              </c:pt>
              <c:pt idx="2">
                <c:v>Error in Operation (mm)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'Mix Models'!$O$11:$O$15</c15:sqref>
                  </c15:fullRef>
                </c:ext>
              </c:extLst>
              <c:f>('Mix Models'!$O$11:$O$12,'Mix Models'!$O$15)</c:f>
              <c:numCache>
                <c:formatCode>0</c:formatCode>
                <c:ptCount val="3"/>
                <c:pt idx="0">
                  <c:v>113.6</c:v>
                </c:pt>
                <c:pt idx="1">
                  <c:v>112</c:v>
                </c:pt>
                <c:pt idx="2" formatCode="0.0">
                  <c:v>83.6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204B-47DE-BC79-6C9246239925}"/>
            </c:ext>
          </c:extLst>
        </c:ser>
        <c:ser>
          <c:idx val="2"/>
          <c:order val="9"/>
          <c:tx>
            <c:strRef>
              <c:f>'Mix Models'!$N$4:$N$5</c:f>
              <c:strCache>
                <c:ptCount val="2"/>
                <c:pt idx="0">
                  <c:v>Fable 5</c:v>
                </c:pt>
                <c:pt idx="1">
                  <c:v>SE v2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Avg Stop Dist in Operation (mm)</c:v>
              </c:pt>
              <c:pt idx="1">
                <c:v>Max-Min in Operation (mm)</c:v>
              </c:pt>
              <c:pt idx="2">
                <c:v>Error in Operation (mm)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'Mix Models'!$N$11:$N$15</c15:sqref>
                  </c15:fullRef>
                </c:ext>
              </c:extLst>
              <c:f>('Mix Models'!$N$11:$N$12,'Mix Models'!$N$15)</c:f>
              <c:numCache>
                <c:formatCode>0</c:formatCode>
                <c:ptCount val="3"/>
                <c:pt idx="0">
                  <c:v>160.4</c:v>
                </c:pt>
                <c:pt idx="1">
                  <c:v>33</c:v>
                </c:pt>
                <c:pt idx="2" formatCode="0.0">
                  <c:v>119.4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204B-47DE-BC79-6C92462399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3320239"/>
        <c:axId val="83323119"/>
      </c:barChart>
      <c:catAx>
        <c:axId val="833202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323119"/>
        <c:crosses val="autoZero"/>
        <c:auto val="1"/>
        <c:lblAlgn val="ctr"/>
        <c:lblOffset val="100"/>
        <c:noMultiLvlLbl val="0"/>
      </c:catAx>
      <c:valAx>
        <c:axId val="833231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3202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1"/>
        <c:delete val="1"/>
      </c:legendEntry>
      <c:legendEntry>
        <c:idx val="2"/>
        <c:delete val="1"/>
      </c:legendEntry>
      <c:legendEntry>
        <c:idx val="3"/>
        <c:delete val="1"/>
      </c:legendEntry>
      <c:legendEntry>
        <c:idx val="5"/>
        <c:delete val="1"/>
      </c:legendEntry>
      <c:legendEntry>
        <c:idx val="6"/>
        <c:delete val="1"/>
      </c:legendEntry>
      <c:legendEntry>
        <c:idx val="7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'Mix Models'!$D$4:$D$5</c:f>
              <c:strCache>
                <c:ptCount val="2"/>
                <c:pt idx="0">
                  <c:v>Opus 4.8</c:v>
                </c:pt>
                <c:pt idx="1">
                  <c:v>Freestyle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'Mix Models'!$B$7:$B$10</c15:sqref>
                  </c15:fullRef>
                </c:ext>
              </c:extLst>
              <c:f>('Mix Models'!$B$7:$B$8,'Mix Models'!$B$10)</c:f>
              <c:strCache>
                <c:ptCount val="3"/>
                <c:pt idx="0">
                  <c:v>Human Measurements</c:v>
                </c:pt>
                <c:pt idx="1">
                  <c:v>Wall Contacts</c:v>
                </c:pt>
                <c:pt idx="2">
                  <c:v>Characterization Runs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'Mix Models'!$D$7:$D$10</c15:sqref>
                  </c15:fullRef>
                </c:ext>
              </c:extLst>
              <c:f>('Mix Models'!$D$7:$D$8,'Mix Models'!$D$10)</c:f>
              <c:numCache>
                <c:formatCode>General</c:formatCode>
                <c:ptCount val="3"/>
                <c:pt idx="0">
                  <c:v>0</c:v>
                </c:pt>
                <c:pt idx="1">
                  <c:v>4</c:v>
                </c:pt>
                <c:pt idx="2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83-4EB4-B4DB-D9CA342125A7}"/>
            </c:ext>
          </c:extLst>
        </c:ser>
        <c:ser>
          <c:idx val="3"/>
          <c:order val="1"/>
          <c:tx>
            <c:strRef>
              <c:f>'Mix Models'!$F$4:$F$5</c:f>
              <c:strCache>
                <c:ptCount val="2"/>
                <c:pt idx="0">
                  <c:v>Opus 4.8</c:v>
                </c:pt>
                <c:pt idx="1">
                  <c:v>Freestyle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'Mix Models'!$B$7:$B$10</c15:sqref>
                  </c15:fullRef>
                </c:ext>
              </c:extLst>
              <c:f>('Mix Models'!$B$7:$B$8,'Mix Models'!$B$10)</c:f>
              <c:strCache>
                <c:ptCount val="3"/>
                <c:pt idx="0">
                  <c:v>Human Measurements</c:v>
                </c:pt>
                <c:pt idx="1">
                  <c:v>Wall Contacts</c:v>
                </c:pt>
                <c:pt idx="2">
                  <c:v>Characterization Runs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'Mix Models'!$F$7:$F$10</c15:sqref>
                  </c15:fullRef>
                </c:ext>
              </c:extLst>
              <c:f>('Mix Models'!$F$7:$F$8,'Mix Models'!$F$10)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883-4EB4-B4DB-D9CA342125A7}"/>
            </c:ext>
          </c:extLst>
        </c:ser>
        <c:ser>
          <c:idx val="5"/>
          <c:order val="2"/>
          <c:tx>
            <c:strRef>
              <c:f>'Mix Models'!$H$4:$H$5</c:f>
              <c:strCache>
                <c:ptCount val="2"/>
                <c:pt idx="0">
                  <c:v>Opus 4.8</c:v>
                </c:pt>
                <c:pt idx="1">
                  <c:v>Freestyle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Human Measurements</c:v>
              </c:pt>
              <c:pt idx="1">
                <c:v>Wall Contacts</c:v>
              </c:pt>
              <c:pt idx="2">
                <c:v>Characterization Runs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'Mix Models'!$H$7:$H$10</c15:sqref>
                  </c15:fullRef>
                </c:ext>
              </c:extLst>
              <c:f>('Mix Models'!$H$7:$H$8,'Mix Models'!$H$10)</c:f>
              <c:numCache>
                <c:formatCode>General</c:formatCode>
                <c:ptCount val="3"/>
                <c:pt idx="0">
                  <c:v>1</c:v>
                </c:pt>
                <c:pt idx="1">
                  <c:v>0</c:v>
                </c:pt>
                <c:pt idx="2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883-4EB4-B4DB-D9CA342125A7}"/>
            </c:ext>
          </c:extLst>
        </c:ser>
        <c:ser>
          <c:idx val="7"/>
          <c:order val="3"/>
          <c:tx>
            <c:strRef>
              <c:f>'Mix Models'!$J$4:$J$5</c:f>
              <c:strCache>
                <c:ptCount val="2"/>
                <c:pt idx="0">
                  <c:v>Opus 4.8</c:v>
                </c:pt>
                <c:pt idx="1">
                  <c:v>Freestyle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Human Measurements</c:v>
              </c:pt>
              <c:pt idx="1">
                <c:v>Wall Contacts</c:v>
              </c:pt>
              <c:pt idx="2">
                <c:v>Characterization Runs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'Mix Models'!$J$7:$J$10</c15:sqref>
                  </c15:fullRef>
                </c:ext>
              </c:extLst>
              <c:f>('Mix Models'!$J$7:$J$8,'Mix Models'!$J$10)</c:f>
              <c:numCache>
                <c:formatCode>General</c:formatCode>
                <c:ptCount val="3"/>
                <c:pt idx="0">
                  <c:v>0</c:v>
                </c:pt>
                <c:pt idx="1">
                  <c:v>1</c:v>
                </c:pt>
                <c:pt idx="2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883-4EB4-B4DB-D9CA342125A7}"/>
            </c:ext>
          </c:extLst>
        </c:ser>
        <c:ser>
          <c:idx val="6"/>
          <c:order val="4"/>
          <c:tx>
            <c:strRef>
              <c:f>'Mix Models'!$I$4:$I$5</c:f>
              <c:strCache>
                <c:ptCount val="2"/>
                <c:pt idx="0">
                  <c:v>Opus 4.8</c:v>
                </c:pt>
                <c:pt idx="1">
                  <c:v>SE v2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Human Measurements</c:v>
              </c:pt>
              <c:pt idx="1">
                <c:v>Wall Contacts</c:v>
              </c:pt>
              <c:pt idx="2">
                <c:v>Characterization Runs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'Mix Models'!$I$7:$I$10</c15:sqref>
                  </c15:fullRef>
                </c:ext>
              </c:extLst>
              <c:f>('Mix Models'!$I$7:$I$8,'Mix Models'!$I$10)</c:f>
              <c:numCache>
                <c:formatCode>General</c:formatCode>
                <c:ptCount val="3"/>
                <c:pt idx="0">
                  <c:v>4</c:v>
                </c:pt>
                <c:pt idx="1">
                  <c:v>1</c:v>
                </c:pt>
                <c:pt idx="2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883-4EB4-B4DB-D9CA342125A7}"/>
            </c:ext>
          </c:extLst>
        </c:ser>
        <c:ser>
          <c:idx val="8"/>
          <c:order val="5"/>
          <c:tx>
            <c:strRef>
              <c:f>'Mix Models'!$K$4:$K$5</c:f>
              <c:strCache>
                <c:ptCount val="2"/>
                <c:pt idx="0">
                  <c:v>Opus 4.8</c:v>
                </c:pt>
                <c:pt idx="1">
                  <c:v>SE v2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Human Measurements</c:v>
              </c:pt>
              <c:pt idx="1">
                <c:v>Wall Contacts</c:v>
              </c:pt>
              <c:pt idx="2">
                <c:v>Characterization Runs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'Mix Models'!$K$7:$K$10</c15:sqref>
                  </c15:fullRef>
                </c:ext>
              </c:extLst>
              <c:f>('Mix Models'!$K$7:$K$8,'Mix Models'!$K$10)</c:f>
              <c:numCache>
                <c:formatCode>General</c:formatCode>
                <c:ptCount val="3"/>
                <c:pt idx="0">
                  <c:v>1</c:v>
                </c:pt>
                <c:pt idx="1">
                  <c:v>0</c:v>
                </c:pt>
                <c:pt idx="2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883-4EB4-B4DB-D9CA342125A7}"/>
            </c:ext>
          </c:extLst>
        </c:ser>
        <c:ser>
          <c:idx val="9"/>
          <c:order val="6"/>
          <c:tx>
            <c:strRef>
              <c:f>'Mix Models'!$L$4:$L$5</c:f>
              <c:strCache>
                <c:ptCount val="2"/>
                <c:pt idx="0">
                  <c:v>Opus 4.8</c:v>
                </c:pt>
                <c:pt idx="1">
                  <c:v>SE v2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Human Measurements</c:v>
              </c:pt>
              <c:pt idx="1">
                <c:v>Wall Contacts</c:v>
              </c:pt>
              <c:pt idx="2">
                <c:v>Characterization Runs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'Mix Models'!$L$7:$L$10</c15:sqref>
                  </c15:fullRef>
                </c:ext>
              </c:extLst>
              <c:f>('Mix Models'!$L$7:$L$8,'Mix Models'!$L$10)</c:f>
              <c:numCache>
                <c:formatCode>General</c:formatCode>
                <c:ptCount val="3"/>
                <c:pt idx="0">
                  <c:v>2</c:v>
                </c:pt>
                <c:pt idx="1">
                  <c:v>0</c:v>
                </c:pt>
                <c:pt idx="2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883-4EB4-B4DB-D9CA342125A7}"/>
            </c:ext>
          </c:extLst>
        </c:ser>
        <c:ser>
          <c:idx val="10"/>
          <c:order val="7"/>
          <c:tx>
            <c:strRef>
              <c:f>'Mix Models'!$M$4:$M$5</c:f>
              <c:strCache>
                <c:ptCount val="2"/>
                <c:pt idx="0">
                  <c:v>Opus 4.8</c:v>
                </c:pt>
                <c:pt idx="1">
                  <c:v>SE v2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Human Measurements</c:v>
              </c:pt>
              <c:pt idx="1">
                <c:v>Wall Contacts</c:v>
              </c:pt>
              <c:pt idx="2">
                <c:v>Characterization Runs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'Mix Models'!$M$7:$M$10</c15:sqref>
                  </c15:fullRef>
                </c:ext>
              </c:extLst>
              <c:f>('Mix Models'!$M$7:$M$8,'Mix Models'!$M$10)</c:f>
              <c:numCache>
                <c:formatCode>General</c:formatCode>
                <c:ptCount val="3"/>
                <c:pt idx="0">
                  <c:v>1</c:v>
                </c:pt>
                <c:pt idx="1">
                  <c:v>0</c:v>
                </c:pt>
                <c:pt idx="2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9883-4EB4-B4DB-D9CA342125A7}"/>
            </c:ext>
          </c:extLst>
        </c:ser>
        <c:ser>
          <c:idx val="2"/>
          <c:order val="8"/>
          <c:tx>
            <c:strRef>
              <c:f>'Mix Models'!$Q$4:$Q$5</c:f>
              <c:strCache>
                <c:ptCount val="2"/>
                <c:pt idx="0">
                  <c:v>Sonnet 4.6</c:v>
                </c:pt>
                <c:pt idx="1">
                  <c:v>Freestyle</c:v>
                </c:pt>
              </c:strCache>
            </c:strRef>
          </c:tx>
          <c:spPr>
            <a:solidFill>
              <a:srgbClr val="994010"/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Human Measurements</c:v>
              </c:pt>
              <c:pt idx="1">
                <c:v>Wall Contacts</c:v>
              </c:pt>
              <c:pt idx="2">
                <c:v>Characterization Runs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'Mix Models'!$Q$7:$Q$10</c15:sqref>
                  </c15:fullRef>
                </c:ext>
              </c:extLst>
              <c:f>('Mix Models'!$Q$7:$Q$8,'Mix Models'!$Q$10)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883-4EB4-B4DB-D9CA342125A7}"/>
            </c:ext>
          </c:extLst>
        </c:ser>
        <c:ser>
          <c:idx val="0"/>
          <c:order val="9"/>
          <c:tx>
            <c:strRef>
              <c:f>'Mix Models'!$P$4:$P$5</c:f>
              <c:strCache>
                <c:ptCount val="2"/>
                <c:pt idx="0">
                  <c:v>Sonnet 4.6</c:v>
                </c:pt>
                <c:pt idx="1">
                  <c:v>SE v2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Human Measurements</c:v>
              </c:pt>
              <c:pt idx="1">
                <c:v>Wall Contacts</c:v>
              </c:pt>
              <c:pt idx="2">
                <c:v>Characterization Runs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'Mix Models'!$P$7:$P$10</c15:sqref>
                  </c15:fullRef>
                </c:ext>
              </c:extLst>
              <c:f>('Mix Models'!$P$7:$P$8,'Mix Models'!$P$10)</c:f>
              <c:numCache>
                <c:formatCode>General</c:formatCode>
                <c:ptCount val="3"/>
                <c:pt idx="0">
                  <c:v>1</c:v>
                </c:pt>
                <c:pt idx="1">
                  <c:v>1</c:v>
                </c:pt>
                <c:pt idx="2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9883-4EB4-B4DB-D9CA342125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3320239"/>
        <c:axId val="83323119"/>
      </c:barChart>
      <c:catAx>
        <c:axId val="833202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323119"/>
        <c:crosses val="autoZero"/>
        <c:auto val="1"/>
        <c:lblAlgn val="ctr"/>
        <c:lblOffset val="100"/>
        <c:noMultiLvlLbl val="0"/>
      </c:catAx>
      <c:valAx>
        <c:axId val="833231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3202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1"/>
        <c:delete val="1"/>
      </c:legendEntry>
      <c:legendEntry>
        <c:idx val="2"/>
        <c:delete val="1"/>
      </c:legendEntry>
      <c:legendEntry>
        <c:idx val="3"/>
        <c:delete val="1"/>
      </c:legendEntry>
      <c:legendEntry>
        <c:idx val="5"/>
        <c:delete val="1"/>
      </c:legendEntry>
      <c:legendEntry>
        <c:idx val="6"/>
        <c:delete val="1"/>
      </c:legendEntry>
      <c:legendEntry>
        <c:idx val="7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'Mix Models'!$D$4:$D$5</c:f>
              <c:strCache>
                <c:ptCount val="2"/>
                <c:pt idx="0">
                  <c:v>Opus 4.8</c:v>
                </c:pt>
                <c:pt idx="1">
                  <c:v>Freestyle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'Mix Models'!$B$11:$B$15</c15:sqref>
                  </c15:fullRef>
                </c:ext>
              </c:extLst>
              <c:f>('Mix Models'!$B$11:$B$12,'Mix Models'!$B$15)</c:f>
              <c:strCache>
                <c:ptCount val="3"/>
                <c:pt idx="0">
                  <c:v>Avg Stop Dist in Operation (mm)</c:v>
                </c:pt>
                <c:pt idx="1">
                  <c:v>Max-Min in Operation (mm)</c:v>
                </c:pt>
                <c:pt idx="2">
                  <c:v>Error in Operation (mm)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'Mix Models'!$D$11:$D$15</c15:sqref>
                  </c15:fullRef>
                </c:ext>
              </c:extLst>
              <c:f>('Mix Models'!$D$11:$D$12,'Mix Models'!$D$15)</c:f>
              <c:numCache>
                <c:formatCode>0</c:formatCode>
                <c:ptCount val="3"/>
                <c:pt idx="0">
                  <c:v>91.8</c:v>
                </c:pt>
                <c:pt idx="1">
                  <c:v>18</c:v>
                </c:pt>
                <c:pt idx="2" formatCode="0.0">
                  <c:v>27.799999999999997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FA-47ED-A9D2-E9C0B4CA05A1}"/>
            </c:ext>
          </c:extLst>
        </c:ser>
        <c:ser>
          <c:idx val="3"/>
          <c:order val="1"/>
          <c:tx>
            <c:strRef>
              <c:f>'Mix Models'!$F$4:$F$5</c:f>
              <c:strCache>
                <c:ptCount val="2"/>
                <c:pt idx="0">
                  <c:v>Opus 4.8</c:v>
                </c:pt>
                <c:pt idx="1">
                  <c:v>Freestyle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'Mix Models'!$B$11:$B$15</c15:sqref>
                  </c15:fullRef>
                </c:ext>
              </c:extLst>
              <c:f>('Mix Models'!$B$11:$B$12,'Mix Models'!$B$15)</c:f>
              <c:strCache>
                <c:ptCount val="3"/>
                <c:pt idx="0">
                  <c:v>Avg Stop Dist in Operation (mm)</c:v>
                </c:pt>
                <c:pt idx="1">
                  <c:v>Max-Min in Operation (mm)</c:v>
                </c:pt>
                <c:pt idx="2">
                  <c:v>Error in Operation (mm)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'Mix Models'!$F$11:$F$15</c15:sqref>
                  </c15:fullRef>
                </c:ext>
              </c:extLst>
              <c:f>('Mix Models'!$F$11:$F$12,'Mix Models'!$F$15)</c:f>
              <c:numCache>
                <c:formatCode>0</c:formatCode>
                <c:ptCount val="3"/>
                <c:pt idx="0">
                  <c:v>213.8</c:v>
                </c:pt>
                <c:pt idx="1">
                  <c:v>77</c:v>
                </c:pt>
                <c:pt idx="2" formatCode="0.0">
                  <c:v>148.80000000000001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7FA-47ED-A9D2-E9C0B4CA05A1}"/>
            </c:ext>
          </c:extLst>
        </c:ser>
        <c:ser>
          <c:idx val="5"/>
          <c:order val="2"/>
          <c:tx>
            <c:strRef>
              <c:f>'Mix Models'!$H$4:$H$5</c:f>
              <c:strCache>
                <c:ptCount val="2"/>
                <c:pt idx="0">
                  <c:v>Opus 4.8</c:v>
                </c:pt>
                <c:pt idx="1">
                  <c:v>Freestyle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Avg Stop Dist in Operation (mm)</c:v>
              </c:pt>
              <c:pt idx="1">
                <c:v>Max-Min in Operation (mm)</c:v>
              </c:pt>
              <c:pt idx="2">
                <c:v>Error in Operation (mm)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'Mix Models'!$H$11:$H$15</c15:sqref>
                  </c15:fullRef>
                </c:ext>
              </c:extLst>
              <c:f>('Mix Models'!$H$11:$H$12,'Mix Models'!$H$15)</c:f>
              <c:numCache>
                <c:formatCode>0</c:formatCode>
                <c:ptCount val="3"/>
                <c:pt idx="0">
                  <c:v>167.4</c:v>
                </c:pt>
                <c:pt idx="1">
                  <c:v>223</c:v>
                </c:pt>
                <c:pt idx="2" formatCode="0.0">
                  <c:v>122.4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7FA-47ED-A9D2-E9C0B4CA05A1}"/>
            </c:ext>
          </c:extLst>
        </c:ser>
        <c:ser>
          <c:idx val="7"/>
          <c:order val="3"/>
          <c:tx>
            <c:strRef>
              <c:f>'Mix Models'!$J$4:$J$5</c:f>
              <c:strCache>
                <c:ptCount val="2"/>
                <c:pt idx="0">
                  <c:v>Opus 4.8</c:v>
                </c:pt>
                <c:pt idx="1">
                  <c:v>Freestyle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Avg Stop Dist in Operation (mm)</c:v>
              </c:pt>
              <c:pt idx="1">
                <c:v>Max-Min in Operation (mm)</c:v>
              </c:pt>
              <c:pt idx="2">
                <c:v>Error in Operation (mm)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'Mix Models'!$J$11:$J$15</c15:sqref>
                  </c15:fullRef>
                </c:ext>
              </c:extLst>
              <c:f>('Mix Models'!$J$11:$J$12,'Mix Models'!$J$15)</c:f>
              <c:numCache>
                <c:formatCode>0</c:formatCode>
                <c:ptCount val="3"/>
                <c:pt idx="0">
                  <c:v>175.4</c:v>
                </c:pt>
                <c:pt idx="1">
                  <c:v>32</c:v>
                </c:pt>
                <c:pt idx="2" formatCode="0.0">
                  <c:v>133.4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7FA-47ED-A9D2-E9C0B4CA05A1}"/>
            </c:ext>
          </c:extLst>
        </c:ser>
        <c:ser>
          <c:idx val="6"/>
          <c:order val="4"/>
          <c:tx>
            <c:strRef>
              <c:f>'Mix Models'!$I$4:$I$5</c:f>
              <c:strCache>
                <c:ptCount val="2"/>
                <c:pt idx="0">
                  <c:v>Opus 4.8</c:v>
                </c:pt>
                <c:pt idx="1">
                  <c:v>SE v2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Avg Stop Dist in Operation (mm)</c:v>
              </c:pt>
              <c:pt idx="1">
                <c:v>Max-Min in Operation (mm)</c:v>
              </c:pt>
              <c:pt idx="2">
                <c:v>Error in Operation (mm)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'Mix Models'!$I$11:$I$15</c15:sqref>
                  </c15:fullRef>
                </c:ext>
              </c:extLst>
              <c:f>('Mix Models'!$I$11:$I$12,'Mix Models'!$I$15)</c:f>
              <c:numCache>
                <c:formatCode>0</c:formatCode>
                <c:ptCount val="3"/>
                <c:pt idx="0">
                  <c:v>44</c:v>
                </c:pt>
                <c:pt idx="1">
                  <c:v>19</c:v>
                </c:pt>
                <c:pt idx="2" formatCode="0.0">
                  <c:v>-3.5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7FA-47ED-A9D2-E9C0B4CA05A1}"/>
            </c:ext>
          </c:extLst>
        </c:ser>
        <c:ser>
          <c:idx val="8"/>
          <c:order val="5"/>
          <c:tx>
            <c:strRef>
              <c:f>'Mix Models'!$K$4:$K$5</c:f>
              <c:strCache>
                <c:ptCount val="2"/>
                <c:pt idx="0">
                  <c:v>Opus 4.8</c:v>
                </c:pt>
                <c:pt idx="1">
                  <c:v>SE v2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Avg Stop Dist in Operation (mm)</c:v>
              </c:pt>
              <c:pt idx="1">
                <c:v>Max-Min in Operation (mm)</c:v>
              </c:pt>
              <c:pt idx="2">
                <c:v>Error in Operation (mm)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'Mix Models'!$K$11:$K$15</c15:sqref>
                  </c15:fullRef>
                </c:ext>
              </c:extLst>
              <c:f>('Mix Models'!$K$11:$K$12,'Mix Models'!$K$15)</c:f>
              <c:numCache>
                <c:formatCode>0</c:formatCode>
                <c:ptCount val="3"/>
                <c:pt idx="0">
                  <c:v>43.4</c:v>
                </c:pt>
                <c:pt idx="1">
                  <c:v>19</c:v>
                </c:pt>
                <c:pt idx="2" formatCode="0.0">
                  <c:v>-1.7000000000000028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7FA-47ED-A9D2-E9C0B4CA05A1}"/>
            </c:ext>
          </c:extLst>
        </c:ser>
        <c:ser>
          <c:idx val="9"/>
          <c:order val="6"/>
          <c:tx>
            <c:strRef>
              <c:f>'Mix Models'!$L$4:$L$5</c:f>
              <c:strCache>
                <c:ptCount val="2"/>
                <c:pt idx="0">
                  <c:v>Opus 4.8</c:v>
                </c:pt>
                <c:pt idx="1">
                  <c:v>SE v2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Avg Stop Dist in Operation (mm)</c:v>
              </c:pt>
              <c:pt idx="1">
                <c:v>Max-Min in Operation (mm)</c:v>
              </c:pt>
              <c:pt idx="2">
                <c:v>Error in Operation (mm)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'Mix Models'!$L$11:$L$15</c15:sqref>
                  </c15:fullRef>
                </c:ext>
              </c:extLst>
              <c:f>('Mix Models'!$L$11:$L$12,'Mix Models'!$L$15)</c:f>
              <c:numCache>
                <c:formatCode>0</c:formatCode>
                <c:ptCount val="3"/>
                <c:pt idx="0">
                  <c:v>20</c:v>
                </c:pt>
                <c:pt idx="1">
                  <c:v>16</c:v>
                </c:pt>
                <c:pt idx="2" formatCode="0.0">
                  <c:v>-10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7FA-47ED-A9D2-E9C0B4CA05A1}"/>
            </c:ext>
          </c:extLst>
        </c:ser>
        <c:ser>
          <c:idx val="10"/>
          <c:order val="7"/>
          <c:tx>
            <c:strRef>
              <c:f>'Mix Models'!$M$4:$M$5</c:f>
              <c:strCache>
                <c:ptCount val="2"/>
                <c:pt idx="0">
                  <c:v>Opus 4.8</c:v>
                </c:pt>
                <c:pt idx="1">
                  <c:v>SE v2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Avg Stop Dist in Operation (mm)</c:v>
              </c:pt>
              <c:pt idx="1">
                <c:v>Max-Min in Operation (mm)</c:v>
              </c:pt>
              <c:pt idx="2">
                <c:v>Error in Operation (mm)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'Mix Models'!$M$11:$M$15</c15:sqref>
                  </c15:fullRef>
                </c:ext>
              </c:extLst>
              <c:f>('Mix Models'!$M$11:$M$12,'Mix Models'!$M$15)</c:f>
              <c:numCache>
                <c:formatCode>0</c:formatCode>
                <c:ptCount val="3"/>
                <c:pt idx="0">
                  <c:v>35.6</c:v>
                </c:pt>
                <c:pt idx="1">
                  <c:v>1</c:v>
                </c:pt>
                <c:pt idx="2" formatCode="0.0">
                  <c:v>1.6000000000000014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77FA-47ED-A9D2-E9C0B4CA05A1}"/>
            </c:ext>
          </c:extLst>
        </c:ser>
        <c:ser>
          <c:idx val="0"/>
          <c:order val="8"/>
          <c:tx>
            <c:strRef>
              <c:f>'Mix Models'!$Q$4:$Q$5</c:f>
              <c:strCache>
                <c:ptCount val="2"/>
                <c:pt idx="0">
                  <c:v>Sonnet 4.6</c:v>
                </c:pt>
                <c:pt idx="1">
                  <c:v>Freestyle</c:v>
                </c:pt>
              </c:strCache>
            </c:strRef>
          </c:tx>
          <c:spPr>
            <a:solidFill>
              <a:srgbClr val="994010"/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Avg Stop Dist in Operation (mm)</c:v>
              </c:pt>
              <c:pt idx="1">
                <c:v>Max-Min in Operation (mm)</c:v>
              </c:pt>
              <c:pt idx="2">
                <c:v>Error in Operation (mm)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'Mix Models'!$Q$11:$Q$15</c15:sqref>
                  </c15:fullRef>
                </c:ext>
              </c:extLst>
              <c:f>('Mix Models'!$Q$11:$Q$12,'Mix Models'!$Q$15)</c:f>
              <c:numCache>
                <c:formatCode>0</c:formatCode>
                <c:ptCount val="3"/>
                <c:pt idx="0">
                  <c:v>124.2</c:v>
                </c:pt>
                <c:pt idx="1">
                  <c:v>16</c:v>
                </c:pt>
                <c:pt idx="2" formatCode="0.0">
                  <c:v>84.2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77FA-47ED-A9D2-E9C0B4CA05A1}"/>
            </c:ext>
          </c:extLst>
        </c:ser>
        <c:ser>
          <c:idx val="2"/>
          <c:order val="9"/>
          <c:tx>
            <c:strRef>
              <c:f>'Mix Models'!$P$4:$P$5</c:f>
              <c:strCache>
                <c:ptCount val="2"/>
                <c:pt idx="0">
                  <c:v>Sonnet 4.6</c:v>
                </c:pt>
                <c:pt idx="1">
                  <c:v>SE v2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Avg Stop Dist in Operation (mm)</c:v>
              </c:pt>
              <c:pt idx="1">
                <c:v>Max-Min in Operation (mm)</c:v>
              </c:pt>
              <c:pt idx="2">
                <c:v>Error in Operation (mm)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'Mix Models'!$P$11:$P$15</c15:sqref>
                  </c15:fullRef>
                </c:ext>
              </c:extLst>
              <c:f>('Mix Models'!$P$11:$P$12,'Mix Models'!$P$15)</c:f>
              <c:numCache>
                <c:formatCode>0</c:formatCode>
                <c:ptCount val="3"/>
                <c:pt idx="0">
                  <c:v>65</c:v>
                </c:pt>
                <c:pt idx="1">
                  <c:v>223</c:v>
                </c:pt>
                <c:pt idx="2" formatCode="0.0">
                  <c:v>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77FA-47ED-A9D2-E9C0B4CA05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3320239"/>
        <c:axId val="83323119"/>
      </c:barChart>
      <c:catAx>
        <c:axId val="833202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323119"/>
        <c:crosses val="autoZero"/>
        <c:auto val="1"/>
        <c:lblAlgn val="ctr"/>
        <c:lblOffset val="100"/>
        <c:noMultiLvlLbl val="0"/>
      </c:catAx>
      <c:valAx>
        <c:axId val="833231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3202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1"/>
        <c:delete val="1"/>
      </c:legendEntry>
      <c:legendEntry>
        <c:idx val="2"/>
        <c:delete val="1"/>
      </c:legendEntry>
      <c:legendEntry>
        <c:idx val="3"/>
        <c:delete val="1"/>
      </c:legendEntry>
      <c:legendEntry>
        <c:idx val="5"/>
        <c:delete val="1"/>
      </c:legendEntry>
      <c:legendEntry>
        <c:idx val="6"/>
        <c:delete val="1"/>
      </c:legendEntry>
      <c:legendEntry>
        <c:idx val="7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3"/>
          <c:order val="0"/>
          <c:tx>
            <c:strRef>
              <c:f>'Mix Models'!$D$4:$D$5</c:f>
              <c:strCache>
                <c:ptCount val="2"/>
                <c:pt idx="0">
                  <c:v>Opus 4.8</c:v>
                </c:pt>
                <c:pt idx="1">
                  <c:v>Freestyle</c:v>
                </c:pt>
              </c:strCache>
            </c:strRef>
          </c:tx>
          <c:spPr>
            <a:ln w="19050">
              <a:solidFill>
                <a:schemeClr val="accent2"/>
              </a:solidFill>
            </a:ln>
          </c:spPr>
          <c:marker>
            <c:symbol val="none"/>
          </c:marker>
          <c:yVal>
            <c:numRef>
              <c:f>'Mix Models'!$D$32:$D$45</c:f>
              <c:numCache>
                <c:formatCode>General</c:formatCode>
                <c:ptCount val="14"/>
                <c:pt idx="8">
                  <c:v>99</c:v>
                </c:pt>
                <c:pt idx="9">
                  <c:v>87</c:v>
                </c:pt>
                <c:pt idx="10">
                  <c:v>95</c:v>
                </c:pt>
                <c:pt idx="11">
                  <c:v>81</c:v>
                </c:pt>
                <c:pt idx="12">
                  <c:v>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6C3-47B6-B621-F8491B99BCFF}"/>
            </c:ext>
          </c:extLst>
        </c:ser>
        <c:ser>
          <c:idx val="5"/>
          <c:order val="1"/>
          <c:tx>
            <c:strRef>
              <c:f>'Mix Models'!$F$4:$F$5</c:f>
              <c:strCache>
                <c:ptCount val="2"/>
                <c:pt idx="0">
                  <c:v>Opus 4.8</c:v>
                </c:pt>
                <c:pt idx="1">
                  <c:v>Freestyle</c:v>
                </c:pt>
              </c:strCache>
            </c:strRef>
          </c:tx>
          <c:spPr>
            <a:ln w="19050">
              <a:solidFill>
                <a:schemeClr val="accent2"/>
              </a:solidFill>
            </a:ln>
          </c:spPr>
          <c:marker>
            <c:symbol val="none"/>
          </c:marker>
          <c:yVal>
            <c:numRef>
              <c:f>'Mix Models'!$F$32:$F$45</c:f>
              <c:numCache>
                <c:formatCode>General</c:formatCode>
                <c:ptCount val="14"/>
                <c:pt idx="6">
                  <c:v>193</c:v>
                </c:pt>
                <c:pt idx="7">
                  <c:v>257</c:v>
                </c:pt>
                <c:pt idx="8">
                  <c:v>183</c:v>
                </c:pt>
                <c:pt idx="9">
                  <c:v>256</c:v>
                </c:pt>
                <c:pt idx="10">
                  <c:v>180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6C3-47B6-B621-F8491B99BCFF}"/>
            </c:ext>
          </c:extLst>
        </c:ser>
        <c:ser>
          <c:idx val="6"/>
          <c:order val="2"/>
          <c:tx>
            <c:strRef>
              <c:f>'Mix Models'!$H$4:$H$5</c:f>
              <c:strCache>
                <c:ptCount val="2"/>
                <c:pt idx="0">
                  <c:v>Opus 4.8</c:v>
                </c:pt>
                <c:pt idx="1">
                  <c:v>Freestyle</c:v>
                </c:pt>
              </c:strCache>
            </c:strRef>
          </c:tx>
          <c:spPr>
            <a:ln w="19050">
              <a:solidFill>
                <a:schemeClr val="accent2"/>
              </a:solidFill>
            </a:ln>
          </c:spPr>
          <c:marker>
            <c:symbol val="none"/>
          </c:marker>
          <c:yVal>
            <c:numRef>
              <c:f>'Mix Models'!$H$32:$H$45</c:f>
              <c:numCache>
                <c:formatCode>General</c:formatCode>
                <c:ptCount val="14"/>
                <c:pt idx="6">
                  <c:v>39</c:v>
                </c:pt>
                <c:pt idx="7">
                  <c:v>49</c:v>
                </c:pt>
                <c:pt idx="8">
                  <c:v>239</c:v>
                </c:pt>
                <c:pt idx="9">
                  <c:v>248</c:v>
                </c:pt>
                <c:pt idx="10">
                  <c:v>262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A6C3-47B6-B621-F8491B99BCFF}"/>
            </c:ext>
          </c:extLst>
        </c:ser>
        <c:ser>
          <c:idx val="0"/>
          <c:order val="3"/>
          <c:tx>
            <c:strRef>
              <c:f>'Mix Models'!$J$4:$J$5</c:f>
              <c:strCache>
                <c:ptCount val="2"/>
                <c:pt idx="0">
                  <c:v>Opus 4.8</c:v>
                </c:pt>
                <c:pt idx="1">
                  <c:v>Freestyle</c:v>
                </c:pt>
              </c:strCache>
            </c:strRef>
          </c:tx>
          <c:spPr>
            <a:ln w="19050">
              <a:solidFill>
                <a:schemeClr val="accent2"/>
              </a:solidFill>
            </a:ln>
          </c:spPr>
          <c:marker>
            <c:symbol val="none"/>
          </c:marker>
          <c:yVal>
            <c:numRef>
              <c:f>'Mix Models'!$J$32:$J$45</c:f>
              <c:numCache>
                <c:formatCode>General</c:formatCode>
                <c:ptCount val="14"/>
                <c:pt idx="5">
                  <c:v>153</c:v>
                </c:pt>
                <c:pt idx="6">
                  <c:v>184</c:v>
                </c:pt>
                <c:pt idx="7">
                  <c:v>176</c:v>
                </c:pt>
                <c:pt idx="8">
                  <c:v>179</c:v>
                </c:pt>
                <c:pt idx="9">
                  <c:v>185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A6C3-47B6-B621-F8491B99BCFF}"/>
            </c:ext>
          </c:extLst>
        </c:ser>
        <c:ser>
          <c:idx val="4"/>
          <c:order val="4"/>
          <c:tx>
            <c:strRef>
              <c:f>'Mix Models'!$S$4:$S$5</c:f>
              <c:strCache>
                <c:ptCount val="2"/>
                <c:pt idx="0">
                  <c:v>Opus 5</c:v>
                </c:pt>
                <c:pt idx="1">
                  <c:v>Freestyle</c:v>
                </c:pt>
              </c:strCache>
            </c:strRef>
          </c:tx>
          <c:spPr>
            <a:ln w="19050">
              <a:solidFill>
                <a:srgbClr val="994010"/>
              </a:solidFill>
            </a:ln>
          </c:spPr>
          <c:marker>
            <c:symbol val="none"/>
          </c:marker>
          <c:yVal>
            <c:numRef>
              <c:f>'Mix Models'!$S$32:$S$45</c:f>
              <c:numCache>
                <c:formatCode>General</c:formatCode>
                <c:ptCount val="14"/>
                <c:pt idx="4">
                  <c:v>3</c:v>
                </c:pt>
                <c:pt idx="5">
                  <c:v>5</c:v>
                </c:pt>
                <c:pt idx="6">
                  <c:v>8</c:v>
                </c:pt>
                <c:pt idx="7">
                  <c:v>9</c:v>
                </c:pt>
                <c:pt idx="8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A6C3-47B6-B621-F8491B99BCFF}"/>
            </c:ext>
          </c:extLst>
        </c:ser>
        <c:ser>
          <c:idx val="11"/>
          <c:order val="5"/>
          <c:tx>
            <c:strRef>
              <c:f>'Mix Models'!$U$4:$U$5</c:f>
              <c:strCache>
                <c:ptCount val="2"/>
                <c:pt idx="0">
                  <c:v>Opus 5</c:v>
                </c:pt>
                <c:pt idx="1">
                  <c:v>Freestyle</c:v>
                </c:pt>
              </c:strCache>
            </c:strRef>
          </c:tx>
          <c:spPr>
            <a:ln w="19050">
              <a:solidFill>
                <a:srgbClr val="994010"/>
              </a:solidFill>
            </a:ln>
          </c:spPr>
          <c:marker>
            <c:symbol val="none"/>
          </c:marker>
          <c:yVal>
            <c:numRef>
              <c:f>'Mix Models'!$U$32:$U$45</c:f>
              <c:numCache>
                <c:formatCode>General</c:formatCode>
                <c:ptCount val="14"/>
                <c:pt idx="4">
                  <c:v>33</c:v>
                </c:pt>
                <c:pt idx="5">
                  <c:v>19</c:v>
                </c:pt>
                <c:pt idx="6">
                  <c:v>32</c:v>
                </c:pt>
                <c:pt idx="7">
                  <c:v>25</c:v>
                </c:pt>
                <c:pt idx="8">
                  <c:v>35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A6C3-47B6-B621-F8491B99BCFF}"/>
            </c:ext>
          </c:extLst>
        </c:ser>
        <c:ser>
          <c:idx val="13"/>
          <c:order val="6"/>
          <c:tx>
            <c:strRef>
              <c:f>'Mix Models'!$W$4:$W$5</c:f>
              <c:strCache>
                <c:ptCount val="2"/>
                <c:pt idx="0">
                  <c:v>Opus 5</c:v>
                </c:pt>
                <c:pt idx="1">
                  <c:v>Freestyle</c:v>
                </c:pt>
              </c:strCache>
            </c:strRef>
          </c:tx>
          <c:spPr>
            <a:ln w="19050">
              <a:solidFill>
                <a:srgbClr val="994010"/>
              </a:solidFill>
              <a:prstDash val="solid"/>
            </a:ln>
          </c:spPr>
          <c:marker>
            <c:symbol val="none"/>
          </c:marker>
          <c:yVal>
            <c:numRef>
              <c:f>'Mix Models'!$W$32:$W$45</c:f>
              <c:numCache>
                <c:formatCode>General</c:formatCode>
                <c:ptCount val="14"/>
                <c:pt idx="3">
                  <c:v>145</c:v>
                </c:pt>
                <c:pt idx="4">
                  <c:v>148</c:v>
                </c:pt>
                <c:pt idx="5">
                  <c:v>29</c:v>
                </c:pt>
                <c:pt idx="6">
                  <c:v>24</c:v>
                </c:pt>
                <c:pt idx="7">
                  <c:v>27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A6C3-47B6-B621-F8491B99BCFF}"/>
            </c:ext>
          </c:extLst>
        </c:ser>
        <c:ser>
          <c:idx val="15"/>
          <c:order val="7"/>
          <c:tx>
            <c:strRef>
              <c:f>'Mix Models'!$Y$4:$Y$5</c:f>
              <c:strCache>
                <c:ptCount val="2"/>
                <c:pt idx="0">
                  <c:v>Opus 5</c:v>
                </c:pt>
                <c:pt idx="1">
                  <c:v>Freestyle</c:v>
                </c:pt>
              </c:strCache>
            </c:strRef>
          </c:tx>
          <c:spPr>
            <a:ln w="19050">
              <a:solidFill>
                <a:srgbClr val="994010"/>
              </a:solidFill>
              <a:prstDash val="solid"/>
            </a:ln>
          </c:spPr>
          <c:marker>
            <c:symbol val="none"/>
          </c:marker>
          <c:yVal>
            <c:numRef>
              <c:f>'Mix Models'!$Y$32:$Y$45</c:f>
              <c:numCache>
                <c:formatCode>General</c:formatCode>
                <c:ptCount val="14"/>
                <c:pt idx="5">
                  <c:v>284</c:v>
                </c:pt>
                <c:pt idx="6">
                  <c:v>271</c:v>
                </c:pt>
                <c:pt idx="7">
                  <c:v>256</c:v>
                </c:pt>
                <c:pt idx="8">
                  <c:v>52</c:v>
                </c:pt>
                <c:pt idx="9">
                  <c:v>275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A6C3-47B6-B621-F8491B99BCFF}"/>
            </c:ext>
          </c:extLst>
        </c:ser>
        <c:ser>
          <c:idx val="7"/>
          <c:order val="8"/>
          <c:tx>
            <c:strRef>
              <c:f>'Mix Models'!$I$4:$I$5</c:f>
              <c:strCache>
                <c:ptCount val="2"/>
                <c:pt idx="0">
                  <c:v>Opus 4.8</c:v>
                </c:pt>
                <c:pt idx="1">
                  <c:v>SE v2</c:v>
                </c:pt>
              </c:strCache>
            </c:strRef>
          </c:tx>
          <c:spPr>
            <a:ln w="19050">
              <a:solidFill>
                <a:schemeClr val="accent4">
                  <a:lumMod val="75000"/>
                </a:schemeClr>
              </a:solidFill>
            </a:ln>
          </c:spPr>
          <c:marker>
            <c:symbol val="none"/>
          </c:marker>
          <c:yVal>
            <c:numRef>
              <c:f>'Mix Models'!$I$32:$I$45</c:f>
              <c:numCache>
                <c:formatCode>General</c:formatCode>
                <c:ptCount val="14"/>
                <c:pt idx="6">
                  <c:v>46</c:v>
                </c:pt>
                <c:pt idx="7">
                  <c:v>45</c:v>
                </c:pt>
                <c:pt idx="8">
                  <c:v>32</c:v>
                </c:pt>
                <c:pt idx="9">
                  <c:v>51</c:v>
                </c:pt>
                <c:pt idx="10">
                  <c:v>46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A6C3-47B6-B621-F8491B99BCFF}"/>
            </c:ext>
          </c:extLst>
        </c:ser>
        <c:ser>
          <c:idx val="8"/>
          <c:order val="9"/>
          <c:tx>
            <c:strRef>
              <c:f>'Mix Models'!$K$4:$K$5</c:f>
              <c:strCache>
                <c:ptCount val="2"/>
                <c:pt idx="0">
                  <c:v>Opus 4.8</c:v>
                </c:pt>
                <c:pt idx="1">
                  <c:v>SE v2</c:v>
                </c:pt>
              </c:strCache>
            </c:strRef>
          </c:tx>
          <c:spPr>
            <a:ln w="19050">
              <a:solidFill>
                <a:schemeClr val="accent4">
                  <a:lumMod val="75000"/>
                </a:schemeClr>
              </a:solidFill>
            </a:ln>
          </c:spPr>
          <c:marker>
            <c:symbol val="none"/>
          </c:marker>
          <c:yVal>
            <c:numRef>
              <c:f>'Mix Models'!$K$32:$K$45</c:f>
              <c:numCache>
                <c:formatCode>General</c:formatCode>
                <c:ptCount val="14"/>
                <c:pt idx="5">
                  <c:v>31</c:v>
                </c:pt>
                <c:pt idx="6">
                  <c:v>47</c:v>
                </c:pt>
                <c:pt idx="7">
                  <c:v>50</c:v>
                </c:pt>
                <c:pt idx="8">
                  <c:v>41</c:v>
                </c:pt>
                <c:pt idx="9">
                  <c:v>48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A6C3-47B6-B621-F8491B99BCFF}"/>
            </c:ext>
          </c:extLst>
        </c:ser>
        <c:ser>
          <c:idx val="9"/>
          <c:order val="10"/>
          <c:tx>
            <c:strRef>
              <c:f>'Mix Models'!$L$4:$L$5</c:f>
              <c:strCache>
                <c:ptCount val="2"/>
                <c:pt idx="0">
                  <c:v>Opus 4.8</c:v>
                </c:pt>
                <c:pt idx="1">
                  <c:v>SE v2</c:v>
                </c:pt>
              </c:strCache>
            </c:strRef>
          </c:tx>
          <c:spPr>
            <a:ln w="19050">
              <a:solidFill>
                <a:schemeClr val="accent4">
                  <a:lumMod val="75000"/>
                </a:schemeClr>
              </a:solidFill>
            </a:ln>
          </c:spPr>
          <c:marker>
            <c:symbol val="none"/>
          </c:marker>
          <c:yVal>
            <c:numRef>
              <c:f>'Mix Models'!$L$32:$L$45</c:f>
              <c:numCache>
                <c:formatCode>General</c:formatCode>
                <c:ptCount val="14"/>
                <c:pt idx="5">
                  <c:v>19</c:v>
                </c:pt>
                <c:pt idx="6">
                  <c:v>22</c:v>
                </c:pt>
                <c:pt idx="7">
                  <c:v>14</c:v>
                </c:pt>
                <c:pt idx="8">
                  <c:v>30</c:v>
                </c:pt>
                <c:pt idx="9">
                  <c:v>15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A6C3-47B6-B621-F8491B99BCFF}"/>
            </c:ext>
          </c:extLst>
        </c:ser>
        <c:ser>
          <c:idx val="1"/>
          <c:order val="11"/>
          <c:tx>
            <c:strRef>
              <c:f>'Mix Models'!$M$4:$M$5</c:f>
              <c:strCache>
                <c:ptCount val="2"/>
                <c:pt idx="0">
                  <c:v>Opus 4.8</c:v>
                </c:pt>
                <c:pt idx="1">
                  <c:v>SE v2</c:v>
                </c:pt>
              </c:strCache>
            </c:strRef>
          </c:tx>
          <c:spPr>
            <a:ln w="19050">
              <a:solidFill>
                <a:schemeClr val="accent4">
                  <a:lumMod val="75000"/>
                </a:schemeClr>
              </a:solidFill>
            </a:ln>
          </c:spPr>
          <c:marker>
            <c:symbol val="none"/>
          </c:marker>
          <c:yVal>
            <c:numRef>
              <c:f>'Mix Models'!$M$32:$M$45</c:f>
              <c:numCache>
                <c:formatCode>General</c:formatCode>
                <c:ptCount val="14"/>
                <c:pt idx="6">
                  <c:v>36</c:v>
                </c:pt>
                <c:pt idx="7">
                  <c:v>35</c:v>
                </c:pt>
                <c:pt idx="8">
                  <c:v>36</c:v>
                </c:pt>
                <c:pt idx="9">
                  <c:v>36</c:v>
                </c:pt>
                <c:pt idx="10">
                  <c:v>35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A6C3-47B6-B621-F8491B99BCFF}"/>
            </c:ext>
          </c:extLst>
        </c:ser>
        <c:ser>
          <c:idx val="2"/>
          <c:order val="12"/>
          <c:tx>
            <c:strRef>
              <c:f>'Mix Models'!$R$4:$R$5</c:f>
              <c:strCache>
                <c:ptCount val="2"/>
                <c:pt idx="0">
                  <c:v>Opus 5</c:v>
                </c:pt>
                <c:pt idx="1">
                  <c:v>SE v2</c:v>
                </c:pt>
              </c:strCache>
            </c:strRef>
          </c:tx>
          <c:spPr>
            <a:ln w="19050">
              <a:solidFill>
                <a:srgbClr val="00B050"/>
              </a:solidFill>
            </a:ln>
          </c:spPr>
          <c:marker>
            <c:symbol val="none"/>
          </c:marker>
          <c:yVal>
            <c:numRef>
              <c:f>'Mix Models'!$R$32:$R$45</c:f>
              <c:numCache>
                <c:formatCode>General</c:formatCode>
                <c:ptCount val="14"/>
                <c:pt idx="5">
                  <c:v>24</c:v>
                </c:pt>
                <c:pt idx="6">
                  <c:v>27</c:v>
                </c:pt>
                <c:pt idx="7">
                  <c:v>21</c:v>
                </c:pt>
                <c:pt idx="8">
                  <c:v>21</c:v>
                </c:pt>
                <c:pt idx="9">
                  <c:v>19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C-A6C3-47B6-B621-F8491B99BCFF}"/>
            </c:ext>
          </c:extLst>
        </c:ser>
        <c:ser>
          <c:idx val="10"/>
          <c:order val="13"/>
          <c:tx>
            <c:strRef>
              <c:f>'Mix Models'!$T$4:$T$5</c:f>
              <c:strCache>
                <c:ptCount val="2"/>
                <c:pt idx="0">
                  <c:v>Opus 5</c:v>
                </c:pt>
                <c:pt idx="1">
                  <c:v>SE v2</c:v>
                </c:pt>
              </c:strCache>
            </c:strRef>
          </c:tx>
          <c:spPr>
            <a:ln w="19050">
              <a:solidFill>
                <a:srgbClr val="00B050"/>
              </a:solidFill>
            </a:ln>
          </c:spPr>
          <c:marker>
            <c:symbol val="none"/>
          </c:marker>
          <c:yVal>
            <c:numRef>
              <c:f>'Mix Models'!$T$32:$T$45</c:f>
              <c:numCache>
                <c:formatCode>General</c:formatCode>
                <c:ptCount val="14"/>
                <c:pt idx="7">
                  <c:v>22</c:v>
                </c:pt>
                <c:pt idx="8">
                  <c:v>34</c:v>
                </c:pt>
                <c:pt idx="9">
                  <c:v>22</c:v>
                </c:pt>
                <c:pt idx="10">
                  <c:v>18</c:v>
                </c:pt>
                <c:pt idx="11">
                  <c:v>37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D-A6C3-47B6-B621-F8491B99BCFF}"/>
            </c:ext>
          </c:extLst>
        </c:ser>
        <c:ser>
          <c:idx val="12"/>
          <c:order val="14"/>
          <c:tx>
            <c:strRef>
              <c:f>'Mix Models'!$V$4:$V$5</c:f>
              <c:strCache>
                <c:ptCount val="2"/>
                <c:pt idx="0">
                  <c:v>Opus 5</c:v>
                </c:pt>
                <c:pt idx="1">
                  <c:v>SE v2</c:v>
                </c:pt>
              </c:strCache>
            </c:strRef>
          </c:tx>
          <c:spPr>
            <a:ln w="19050">
              <a:solidFill>
                <a:srgbClr val="00B050"/>
              </a:solidFill>
              <a:prstDash val="solid"/>
            </a:ln>
          </c:spPr>
          <c:marker>
            <c:symbol val="none"/>
          </c:marker>
          <c:yVal>
            <c:numRef>
              <c:f>'Mix Models'!$V$32:$V$45</c:f>
              <c:numCache>
                <c:formatCode>General</c:formatCode>
                <c:ptCount val="14"/>
                <c:pt idx="7">
                  <c:v>35</c:v>
                </c:pt>
                <c:pt idx="8">
                  <c:v>31</c:v>
                </c:pt>
                <c:pt idx="9">
                  <c:v>25</c:v>
                </c:pt>
                <c:pt idx="10">
                  <c:v>26</c:v>
                </c:pt>
                <c:pt idx="11">
                  <c:v>32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E-A6C3-47B6-B621-F8491B99BCFF}"/>
            </c:ext>
          </c:extLst>
        </c:ser>
        <c:ser>
          <c:idx val="14"/>
          <c:order val="15"/>
          <c:tx>
            <c:strRef>
              <c:f>'Mix Models'!$X$4:$X$5</c:f>
              <c:strCache>
                <c:ptCount val="2"/>
                <c:pt idx="0">
                  <c:v>Opus 5</c:v>
                </c:pt>
                <c:pt idx="1">
                  <c:v>SE v2</c:v>
                </c:pt>
              </c:strCache>
            </c:strRef>
          </c:tx>
          <c:spPr>
            <a:ln w="19050">
              <a:solidFill>
                <a:srgbClr val="00B050"/>
              </a:solidFill>
              <a:prstDash val="solid"/>
            </a:ln>
          </c:spPr>
          <c:marker>
            <c:symbol val="none"/>
          </c:marker>
          <c:yVal>
            <c:numRef>
              <c:f>'Mix Models'!$X$32:$X$45</c:f>
              <c:numCache>
                <c:formatCode>General</c:formatCode>
                <c:ptCount val="14"/>
                <c:pt idx="4">
                  <c:v>24</c:v>
                </c:pt>
                <c:pt idx="5">
                  <c:v>29</c:v>
                </c:pt>
                <c:pt idx="6">
                  <c:v>30</c:v>
                </c:pt>
                <c:pt idx="7">
                  <c:v>23</c:v>
                </c:pt>
                <c:pt idx="8">
                  <c:v>27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F-A6C3-47B6-B621-F8491B99BC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30609439"/>
        <c:axId val="1430609919"/>
      </c:scatterChart>
      <c:valAx>
        <c:axId val="1430609439"/>
        <c:scaling>
          <c:orientation val="minMax"/>
          <c:max val="14"/>
          <c:min val="3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sz="1000" b="0" i="0" u="none" strike="noStrike" kern="1200" baseline="0">
                    <a:solidFill>
                      <a:sysClr val="windowText" lastClr="000000"/>
                    </a:solidFill>
                  </a:rPr>
                  <a:t>Operational Runs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0609919"/>
        <c:crosses val="autoZero"/>
        <c:crossBetween val="midCat"/>
      </c:valAx>
      <c:valAx>
        <c:axId val="1430609919"/>
        <c:scaling>
          <c:orientation val="minMax"/>
          <c:max val="3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Stopping Distance</a:t>
                </a:r>
                <a:r>
                  <a:rPr lang="en-US" baseline="0"/>
                  <a:t> to Wall (mm)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0609439"/>
        <c:crosses val="autoZero"/>
        <c:crossBetween val="midCat"/>
      </c:valAx>
    </c:plotArea>
    <c:legend>
      <c:legendPos val="r"/>
      <c:legendEntry>
        <c:idx val="1"/>
        <c:delete val="1"/>
      </c:legendEntry>
      <c:legendEntry>
        <c:idx val="2"/>
        <c:delete val="1"/>
      </c:legendEntry>
      <c:legendEntry>
        <c:idx val="3"/>
        <c:delete val="1"/>
      </c:legendEntry>
      <c:legendEntry>
        <c:idx val="5"/>
        <c:delete val="1"/>
      </c:legendEntry>
      <c:legendEntry>
        <c:idx val="6"/>
        <c:delete val="1"/>
      </c:legendEntry>
      <c:legendEntry>
        <c:idx val="7"/>
        <c:delete val="1"/>
      </c:legendEntry>
      <c:legendEntry>
        <c:idx val="9"/>
        <c:delete val="1"/>
      </c:legendEntry>
      <c:legendEntry>
        <c:idx val="10"/>
        <c:delete val="1"/>
      </c:legendEntry>
      <c:legendEntry>
        <c:idx val="11"/>
        <c:delete val="1"/>
      </c:legendEntry>
      <c:legendEntry>
        <c:idx val="13"/>
        <c:delete val="1"/>
      </c:legendEntry>
      <c:legendEntry>
        <c:idx val="14"/>
        <c:delete val="1"/>
      </c:legendEntry>
      <c:legendEntry>
        <c:idx val="15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'Mix Models'!$D$4:$D$5</c:f>
              <c:strCache>
                <c:ptCount val="2"/>
                <c:pt idx="0">
                  <c:v>Opus 4.8</c:v>
                </c:pt>
                <c:pt idx="1">
                  <c:v>Freestyle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'Mix Models'!$B$11:$B$15</c15:sqref>
                  </c15:fullRef>
                </c:ext>
              </c:extLst>
              <c:f>('Mix Models'!$B$11:$B$12,'Mix Models'!$B$15)</c:f>
              <c:strCache>
                <c:ptCount val="3"/>
                <c:pt idx="0">
                  <c:v>Avg Stop Dist in Operation (mm)</c:v>
                </c:pt>
                <c:pt idx="1">
                  <c:v>Max-Min in Operation (mm)</c:v>
                </c:pt>
                <c:pt idx="2">
                  <c:v>Error in Operation (mm)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'Mix Models'!$D$11:$D$15</c15:sqref>
                  </c15:fullRef>
                </c:ext>
              </c:extLst>
              <c:f>('Mix Models'!$D$11:$D$12,'Mix Models'!$D$15)</c:f>
              <c:numCache>
                <c:formatCode>0</c:formatCode>
                <c:ptCount val="3"/>
                <c:pt idx="0">
                  <c:v>91.8</c:v>
                </c:pt>
                <c:pt idx="1">
                  <c:v>18</c:v>
                </c:pt>
                <c:pt idx="2" formatCode="0.0">
                  <c:v>27.799999999999997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E5-42A0-9EF9-4CB09CE30A97}"/>
            </c:ext>
          </c:extLst>
        </c:ser>
        <c:ser>
          <c:idx val="3"/>
          <c:order val="1"/>
          <c:tx>
            <c:strRef>
              <c:f>'Mix Models'!$F$4:$F$5</c:f>
              <c:strCache>
                <c:ptCount val="2"/>
                <c:pt idx="0">
                  <c:v>Opus 4.8</c:v>
                </c:pt>
                <c:pt idx="1">
                  <c:v>Freestyle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'Mix Models'!$B$11:$B$15</c15:sqref>
                  </c15:fullRef>
                </c:ext>
              </c:extLst>
              <c:f>('Mix Models'!$B$11:$B$12,'Mix Models'!$B$15)</c:f>
              <c:strCache>
                <c:ptCount val="3"/>
                <c:pt idx="0">
                  <c:v>Avg Stop Dist in Operation (mm)</c:v>
                </c:pt>
                <c:pt idx="1">
                  <c:v>Max-Min in Operation (mm)</c:v>
                </c:pt>
                <c:pt idx="2">
                  <c:v>Error in Operation (mm)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'Mix Models'!$F$11:$F$15</c15:sqref>
                  </c15:fullRef>
                </c:ext>
              </c:extLst>
              <c:f>('Mix Models'!$F$11:$F$12,'Mix Models'!$F$15)</c:f>
              <c:numCache>
                <c:formatCode>0</c:formatCode>
                <c:ptCount val="3"/>
                <c:pt idx="0">
                  <c:v>213.8</c:v>
                </c:pt>
                <c:pt idx="1">
                  <c:v>77</c:v>
                </c:pt>
                <c:pt idx="2" formatCode="0.0">
                  <c:v>148.80000000000001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0E5-42A0-9EF9-4CB09CE30A97}"/>
            </c:ext>
          </c:extLst>
        </c:ser>
        <c:ser>
          <c:idx val="5"/>
          <c:order val="2"/>
          <c:tx>
            <c:strRef>
              <c:f>'Mix Models'!$H$4:$H$5</c:f>
              <c:strCache>
                <c:ptCount val="2"/>
                <c:pt idx="0">
                  <c:v>Opus 4.8</c:v>
                </c:pt>
                <c:pt idx="1">
                  <c:v>Freestyle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Avg Stop Dist in Operation (mm)</c:v>
              </c:pt>
              <c:pt idx="1">
                <c:v>Max-Min in Operation (mm)</c:v>
              </c:pt>
              <c:pt idx="2">
                <c:v>Error in Operation (mm)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'Mix Models'!$H$11:$H$15</c15:sqref>
                  </c15:fullRef>
                </c:ext>
              </c:extLst>
              <c:f>('Mix Models'!$H$11:$H$12,'Mix Models'!$H$15)</c:f>
              <c:numCache>
                <c:formatCode>0</c:formatCode>
                <c:ptCount val="3"/>
                <c:pt idx="0">
                  <c:v>167.4</c:v>
                </c:pt>
                <c:pt idx="1">
                  <c:v>223</c:v>
                </c:pt>
                <c:pt idx="2" formatCode="0.0">
                  <c:v>122.4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0E5-42A0-9EF9-4CB09CE30A97}"/>
            </c:ext>
          </c:extLst>
        </c:ser>
        <c:ser>
          <c:idx val="7"/>
          <c:order val="3"/>
          <c:tx>
            <c:strRef>
              <c:f>'Mix Models'!$J$4:$J$5</c:f>
              <c:strCache>
                <c:ptCount val="2"/>
                <c:pt idx="0">
                  <c:v>Opus 4.8</c:v>
                </c:pt>
                <c:pt idx="1">
                  <c:v>Freestyle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Avg Stop Dist in Operation (mm)</c:v>
              </c:pt>
              <c:pt idx="1">
                <c:v>Max-Min in Operation (mm)</c:v>
              </c:pt>
              <c:pt idx="2">
                <c:v>Error in Operation (mm)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'Mix Models'!$J$11:$J$15</c15:sqref>
                  </c15:fullRef>
                </c:ext>
              </c:extLst>
              <c:f>('Mix Models'!$J$11:$J$12,'Mix Models'!$J$15)</c:f>
              <c:numCache>
                <c:formatCode>0</c:formatCode>
                <c:ptCount val="3"/>
                <c:pt idx="0">
                  <c:v>175.4</c:v>
                </c:pt>
                <c:pt idx="1">
                  <c:v>32</c:v>
                </c:pt>
                <c:pt idx="2" formatCode="0.0">
                  <c:v>133.4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0E5-42A0-9EF9-4CB09CE30A97}"/>
            </c:ext>
          </c:extLst>
        </c:ser>
        <c:ser>
          <c:idx val="6"/>
          <c:order val="4"/>
          <c:tx>
            <c:strRef>
              <c:f>'Mix Models'!$I$4:$I$5</c:f>
              <c:strCache>
                <c:ptCount val="2"/>
                <c:pt idx="0">
                  <c:v>Opus 4.8</c:v>
                </c:pt>
                <c:pt idx="1">
                  <c:v>SE v2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Avg Stop Dist in Operation (mm)</c:v>
              </c:pt>
              <c:pt idx="1">
                <c:v>Max-Min in Operation (mm)</c:v>
              </c:pt>
              <c:pt idx="2">
                <c:v>Error in Operation (mm)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'Mix Models'!$I$11:$I$15</c15:sqref>
                  </c15:fullRef>
                </c:ext>
              </c:extLst>
              <c:f>('Mix Models'!$I$11:$I$12,'Mix Models'!$I$15)</c:f>
              <c:numCache>
                <c:formatCode>0</c:formatCode>
                <c:ptCount val="3"/>
                <c:pt idx="0">
                  <c:v>44</c:v>
                </c:pt>
                <c:pt idx="1">
                  <c:v>19</c:v>
                </c:pt>
                <c:pt idx="2" formatCode="0.0">
                  <c:v>-3.5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0E5-42A0-9EF9-4CB09CE30A97}"/>
            </c:ext>
          </c:extLst>
        </c:ser>
        <c:ser>
          <c:idx val="8"/>
          <c:order val="5"/>
          <c:tx>
            <c:strRef>
              <c:f>'Mix Models'!$K$4:$K$5</c:f>
              <c:strCache>
                <c:ptCount val="2"/>
                <c:pt idx="0">
                  <c:v>Opus 4.8</c:v>
                </c:pt>
                <c:pt idx="1">
                  <c:v>SE v2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Avg Stop Dist in Operation (mm)</c:v>
              </c:pt>
              <c:pt idx="1">
                <c:v>Max-Min in Operation (mm)</c:v>
              </c:pt>
              <c:pt idx="2">
                <c:v>Error in Operation (mm)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'Mix Models'!$K$11:$K$15</c15:sqref>
                  </c15:fullRef>
                </c:ext>
              </c:extLst>
              <c:f>('Mix Models'!$K$11:$K$12,'Mix Models'!$K$15)</c:f>
              <c:numCache>
                <c:formatCode>0</c:formatCode>
                <c:ptCount val="3"/>
                <c:pt idx="0">
                  <c:v>43.4</c:v>
                </c:pt>
                <c:pt idx="1">
                  <c:v>19</c:v>
                </c:pt>
                <c:pt idx="2" formatCode="0.0">
                  <c:v>-1.7000000000000028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0E5-42A0-9EF9-4CB09CE30A97}"/>
            </c:ext>
          </c:extLst>
        </c:ser>
        <c:ser>
          <c:idx val="9"/>
          <c:order val="6"/>
          <c:tx>
            <c:strRef>
              <c:f>'Mix Models'!$L$4:$L$5</c:f>
              <c:strCache>
                <c:ptCount val="2"/>
                <c:pt idx="0">
                  <c:v>Opus 4.8</c:v>
                </c:pt>
                <c:pt idx="1">
                  <c:v>SE v2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Avg Stop Dist in Operation (mm)</c:v>
              </c:pt>
              <c:pt idx="1">
                <c:v>Max-Min in Operation (mm)</c:v>
              </c:pt>
              <c:pt idx="2">
                <c:v>Error in Operation (mm)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'Mix Models'!$L$11:$L$15</c15:sqref>
                  </c15:fullRef>
                </c:ext>
              </c:extLst>
              <c:f>('Mix Models'!$L$11:$L$12,'Mix Models'!$L$15)</c:f>
              <c:numCache>
                <c:formatCode>0</c:formatCode>
                <c:ptCount val="3"/>
                <c:pt idx="0">
                  <c:v>20</c:v>
                </c:pt>
                <c:pt idx="1">
                  <c:v>16</c:v>
                </c:pt>
                <c:pt idx="2" formatCode="0.0">
                  <c:v>-10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0E5-42A0-9EF9-4CB09CE30A97}"/>
            </c:ext>
          </c:extLst>
        </c:ser>
        <c:ser>
          <c:idx val="10"/>
          <c:order val="7"/>
          <c:tx>
            <c:strRef>
              <c:f>'Mix Models'!$M$4:$M$5</c:f>
              <c:strCache>
                <c:ptCount val="2"/>
                <c:pt idx="0">
                  <c:v>Opus 4.8</c:v>
                </c:pt>
                <c:pt idx="1">
                  <c:v>SE v2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Avg Stop Dist in Operation (mm)</c:v>
              </c:pt>
              <c:pt idx="1">
                <c:v>Max-Min in Operation (mm)</c:v>
              </c:pt>
              <c:pt idx="2">
                <c:v>Error in Operation (mm)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'Mix Models'!$M$11:$M$15</c15:sqref>
                  </c15:fullRef>
                </c:ext>
              </c:extLst>
              <c:f>('Mix Models'!$M$11:$M$12,'Mix Models'!$M$15)</c:f>
              <c:numCache>
                <c:formatCode>0</c:formatCode>
                <c:ptCount val="3"/>
                <c:pt idx="0">
                  <c:v>35.6</c:v>
                </c:pt>
                <c:pt idx="1">
                  <c:v>1</c:v>
                </c:pt>
                <c:pt idx="2" formatCode="0.0">
                  <c:v>1.6000000000000014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30E5-42A0-9EF9-4CB09CE30A97}"/>
            </c:ext>
          </c:extLst>
        </c:ser>
        <c:ser>
          <c:idx val="0"/>
          <c:order val="8"/>
          <c:tx>
            <c:strRef>
              <c:f>'Mix Models'!$S$4:$S$5</c:f>
              <c:strCache>
                <c:ptCount val="2"/>
                <c:pt idx="0">
                  <c:v>Opus 5</c:v>
                </c:pt>
                <c:pt idx="1">
                  <c:v>Freestyle</c:v>
                </c:pt>
              </c:strCache>
            </c:strRef>
          </c:tx>
          <c:spPr>
            <a:solidFill>
              <a:srgbClr val="994010"/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Avg Stop Dist in Operation (mm)</c:v>
              </c:pt>
              <c:pt idx="1">
                <c:v>Max-Min in Operation (mm)</c:v>
              </c:pt>
              <c:pt idx="2">
                <c:v>Error in Operation (mm)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'Mix Models'!$S$11:$S$15</c15:sqref>
                  </c15:fullRef>
                </c:ext>
              </c:extLst>
              <c:f>('Mix Models'!$S$11:$S$12,'Mix Models'!$S$15)</c:f>
              <c:numCache>
                <c:formatCode>0</c:formatCode>
                <c:ptCount val="3"/>
                <c:pt idx="0">
                  <c:v>5.2</c:v>
                </c:pt>
                <c:pt idx="1">
                  <c:v>8</c:v>
                </c:pt>
                <c:pt idx="2" formatCode="0.0">
                  <c:v>-15.8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30E5-42A0-9EF9-4CB09CE30A97}"/>
            </c:ext>
          </c:extLst>
        </c:ser>
        <c:ser>
          <c:idx val="11"/>
          <c:order val="9"/>
          <c:tx>
            <c:strRef>
              <c:f>'Mix Models'!$U$4:$U$5</c:f>
              <c:strCache>
                <c:ptCount val="2"/>
                <c:pt idx="0">
                  <c:v>Opus 5</c:v>
                </c:pt>
                <c:pt idx="1">
                  <c:v>Freestyle</c:v>
                </c:pt>
              </c:strCache>
            </c:strRef>
          </c:tx>
          <c:spPr>
            <a:solidFill>
              <a:srgbClr val="994010"/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Avg Stop Dist in Operation (mm)</c:v>
              </c:pt>
              <c:pt idx="1">
                <c:v>Max-Min in Operation (mm)</c:v>
              </c:pt>
              <c:pt idx="2">
                <c:v>Error in Operation (mm)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'Mix Models'!$U$11:$U$15</c15:sqref>
                  </c15:fullRef>
                </c:ext>
              </c:extLst>
              <c:f>('Mix Models'!$U$11:$U$12,'Mix Models'!$U$15)</c:f>
              <c:numCache>
                <c:formatCode>0</c:formatCode>
                <c:ptCount val="3"/>
                <c:pt idx="0">
                  <c:v>28.8</c:v>
                </c:pt>
                <c:pt idx="1">
                  <c:v>16</c:v>
                </c:pt>
                <c:pt idx="2" formatCode="0.0">
                  <c:v>5.8000000000000007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30E5-42A0-9EF9-4CB09CE30A97}"/>
            </c:ext>
          </c:extLst>
        </c:ser>
        <c:ser>
          <c:idx val="12"/>
          <c:order val="10"/>
          <c:tx>
            <c:strRef>
              <c:f>'Mix Models'!$W$4:$W$5</c:f>
              <c:strCache>
                <c:ptCount val="2"/>
                <c:pt idx="0">
                  <c:v>Opus 5</c:v>
                </c:pt>
                <c:pt idx="1">
                  <c:v>Freestyle</c:v>
                </c:pt>
              </c:strCache>
            </c:strRef>
          </c:tx>
          <c:spPr>
            <a:solidFill>
              <a:srgbClr val="994010"/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Avg Stop Dist in Operation (mm)</c:v>
              </c:pt>
              <c:pt idx="1">
                <c:v>Max-Min in Operation (mm)</c:v>
              </c:pt>
              <c:pt idx="2">
                <c:v>Error in Operation (mm)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'Mix Models'!$W$11:$W$15</c15:sqref>
                  </c15:fullRef>
                </c:ext>
              </c:extLst>
              <c:f>('Mix Models'!$W$11:$W$12,'Mix Models'!$W$15)</c:f>
              <c:numCache>
                <c:formatCode>0</c:formatCode>
                <c:ptCount val="3"/>
                <c:pt idx="0">
                  <c:v>74.599999999999994</c:v>
                </c:pt>
                <c:pt idx="1">
                  <c:v>124</c:v>
                </c:pt>
                <c:pt idx="2" formatCode="0.0">
                  <c:v>49.599999999999994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30E5-42A0-9EF9-4CB09CE30A97}"/>
            </c:ext>
          </c:extLst>
        </c:ser>
        <c:ser>
          <c:idx val="13"/>
          <c:order val="11"/>
          <c:tx>
            <c:strRef>
              <c:f>'Mix Models'!$Y$4:$Y$5</c:f>
              <c:strCache>
                <c:ptCount val="2"/>
                <c:pt idx="0">
                  <c:v>Opus 5</c:v>
                </c:pt>
                <c:pt idx="1">
                  <c:v>Freestyle</c:v>
                </c:pt>
              </c:strCache>
            </c:strRef>
          </c:tx>
          <c:spPr>
            <a:solidFill>
              <a:srgbClr val="994010"/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Avg Stop Dist in Operation (mm)</c:v>
              </c:pt>
              <c:pt idx="1">
                <c:v>Max-Min in Operation (mm)</c:v>
              </c:pt>
              <c:pt idx="2">
                <c:v>Error in Operation (mm)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'Mix Models'!$Y$11:$Y$15</c15:sqref>
                  </c15:fullRef>
                </c:ext>
              </c:extLst>
              <c:f>('Mix Models'!$Y$11:$Y$12,'Mix Models'!$Y$15)</c:f>
              <c:numCache>
                <c:formatCode>0</c:formatCode>
                <c:ptCount val="3"/>
                <c:pt idx="0">
                  <c:v>227.6</c:v>
                </c:pt>
                <c:pt idx="1">
                  <c:v>232</c:v>
                </c:pt>
                <c:pt idx="2" formatCode="0.0">
                  <c:v>157.6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30E5-42A0-9EF9-4CB09CE30A97}"/>
            </c:ext>
          </c:extLst>
        </c:ser>
        <c:ser>
          <c:idx val="2"/>
          <c:order val="12"/>
          <c:tx>
            <c:strRef>
              <c:f>'Mix Models'!$R$4:$R$5</c:f>
              <c:strCache>
                <c:ptCount val="2"/>
                <c:pt idx="0">
                  <c:v>Opus 5</c:v>
                </c:pt>
                <c:pt idx="1">
                  <c:v>SE v2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Avg Stop Dist in Operation (mm)</c:v>
              </c:pt>
              <c:pt idx="1">
                <c:v>Max-Min in Operation (mm)</c:v>
              </c:pt>
              <c:pt idx="2">
                <c:v>Error in Operation (mm)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'Mix Models'!$R$11:$R$15</c15:sqref>
                  </c15:fullRef>
                </c:ext>
              </c:extLst>
              <c:f>('Mix Models'!$R$11:$R$12,'Mix Models'!$R$15)</c:f>
              <c:numCache>
                <c:formatCode>0</c:formatCode>
                <c:ptCount val="3"/>
                <c:pt idx="0">
                  <c:v>22.4</c:v>
                </c:pt>
                <c:pt idx="1">
                  <c:v>8</c:v>
                </c:pt>
                <c:pt idx="2" formatCode="0.0">
                  <c:v>-3.6000000000000014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30E5-42A0-9EF9-4CB09CE30A97}"/>
            </c:ext>
          </c:extLst>
        </c:ser>
        <c:ser>
          <c:idx val="4"/>
          <c:order val="13"/>
          <c:tx>
            <c:strRef>
              <c:f>'Mix Models'!$T$4:$T$5</c:f>
              <c:strCache>
                <c:ptCount val="2"/>
                <c:pt idx="0">
                  <c:v>Opus 5</c:v>
                </c:pt>
                <c:pt idx="1">
                  <c:v>SE v2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Avg Stop Dist in Operation (mm)</c:v>
              </c:pt>
              <c:pt idx="1">
                <c:v>Max-Min in Operation (mm)</c:v>
              </c:pt>
              <c:pt idx="2">
                <c:v>Error in Operation (mm)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'Mix Models'!$T$11:$T$15</c15:sqref>
                  </c15:fullRef>
                </c:ext>
              </c:extLst>
              <c:f>('Mix Models'!$T$11:$T$12,'Mix Models'!$T$15)</c:f>
              <c:numCache>
                <c:formatCode>0</c:formatCode>
                <c:ptCount val="3"/>
                <c:pt idx="0">
                  <c:v>26.6</c:v>
                </c:pt>
                <c:pt idx="1">
                  <c:v>19</c:v>
                </c:pt>
                <c:pt idx="2" formatCode="0.0">
                  <c:v>8.6000000000000014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30E5-42A0-9EF9-4CB09CE30A97}"/>
            </c:ext>
          </c:extLst>
        </c:ser>
        <c:ser>
          <c:idx val="14"/>
          <c:order val="14"/>
          <c:tx>
            <c:strRef>
              <c:f>'Mix Models'!$V$4:$V$5</c:f>
              <c:strCache>
                <c:ptCount val="2"/>
                <c:pt idx="0">
                  <c:v>Opus 5</c:v>
                </c:pt>
                <c:pt idx="1">
                  <c:v>SE v2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Avg Stop Dist in Operation (mm)</c:v>
              </c:pt>
              <c:pt idx="1">
                <c:v>Max-Min in Operation (mm)</c:v>
              </c:pt>
              <c:pt idx="2">
                <c:v>Error in Operation (mm)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'Mix Models'!$V$11:$V$15</c15:sqref>
                  </c15:fullRef>
                </c:ext>
              </c:extLst>
              <c:f>('Mix Models'!$V$11:$V$12,'Mix Models'!$V$15)</c:f>
              <c:numCache>
                <c:formatCode>0</c:formatCode>
                <c:ptCount val="3"/>
                <c:pt idx="0">
                  <c:v>29.8</c:v>
                </c:pt>
                <c:pt idx="1">
                  <c:v>10</c:v>
                </c:pt>
                <c:pt idx="2" formatCode="0.0">
                  <c:v>0.30000000000000071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30E5-42A0-9EF9-4CB09CE30A97}"/>
            </c:ext>
          </c:extLst>
        </c:ser>
        <c:ser>
          <c:idx val="15"/>
          <c:order val="15"/>
          <c:tx>
            <c:strRef>
              <c:f>'Mix Models'!$X$4:$X$5</c:f>
              <c:strCache>
                <c:ptCount val="2"/>
                <c:pt idx="0">
                  <c:v>Opus 5</c:v>
                </c:pt>
                <c:pt idx="1">
                  <c:v>SE v2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Avg Stop Dist in Operation (mm)</c:v>
              </c:pt>
              <c:pt idx="1">
                <c:v>Max-Min in Operation (mm)</c:v>
              </c:pt>
              <c:pt idx="2">
                <c:v>Error in Operation (mm)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'Mix Models'!$X$11:$X$15</c15:sqref>
                  </c15:fullRef>
                </c:ext>
              </c:extLst>
              <c:f>('Mix Models'!$X$11:$X$12,'Mix Models'!$X$15)</c:f>
              <c:numCache>
                <c:formatCode>0</c:formatCode>
                <c:ptCount val="3"/>
                <c:pt idx="0">
                  <c:v>26.6</c:v>
                </c:pt>
                <c:pt idx="1">
                  <c:v>7</c:v>
                </c:pt>
                <c:pt idx="2" formatCode="0.0">
                  <c:v>3.6000000000000014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30E5-42A0-9EF9-4CB09CE30A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3320239"/>
        <c:axId val="83323119"/>
      </c:barChart>
      <c:catAx>
        <c:axId val="833202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323119"/>
        <c:crosses val="autoZero"/>
        <c:auto val="1"/>
        <c:lblAlgn val="ctr"/>
        <c:lblOffset val="100"/>
        <c:noMultiLvlLbl val="0"/>
      </c:catAx>
      <c:valAx>
        <c:axId val="833231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3202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1"/>
        <c:delete val="1"/>
      </c:legendEntry>
      <c:legendEntry>
        <c:idx val="2"/>
        <c:delete val="1"/>
      </c:legendEntry>
      <c:legendEntry>
        <c:idx val="3"/>
        <c:delete val="1"/>
      </c:legendEntry>
      <c:legendEntry>
        <c:idx val="5"/>
        <c:delete val="1"/>
      </c:legendEntry>
      <c:legendEntry>
        <c:idx val="6"/>
        <c:delete val="1"/>
      </c:legendEntry>
      <c:legendEntry>
        <c:idx val="7"/>
        <c:delete val="1"/>
      </c:legendEntry>
      <c:legendEntry>
        <c:idx val="9"/>
        <c:delete val="1"/>
      </c:legendEntry>
      <c:legendEntry>
        <c:idx val="10"/>
        <c:delete val="1"/>
      </c:legendEntry>
      <c:legendEntry>
        <c:idx val="11"/>
        <c:delete val="1"/>
      </c:legendEntry>
      <c:legendEntry>
        <c:idx val="13"/>
        <c:delete val="1"/>
      </c:legendEntry>
      <c:legendEntry>
        <c:idx val="14"/>
        <c:delete val="1"/>
      </c:legendEntry>
      <c:legendEntry>
        <c:idx val="15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'Mix Models'!$D$4:$D$5</c:f>
              <c:strCache>
                <c:ptCount val="2"/>
                <c:pt idx="0">
                  <c:v>Opus 4.8</c:v>
                </c:pt>
                <c:pt idx="1">
                  <c:v>Freestyle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'Mix Models'!$B$7:$B$10</c15:sqref>
                  </c15:fullRef>
                </c:ext>
              </c:extLst>
              <c:f>('Mix Models'!$B$7:$B$8,'Mix Models'!$B$10)</c:f>
              <c:strCache>
                <c:ptCount val="3"/>
                <c:pt idx="0">
                  <c:v>Human Measurements</c:v>
                </c:pt>
                <c:pt idx="1">
                  <c:v>Wall Contacts</c:v>
                </c:pt>
                <c:pt idx="2">
                  <c:v>Characterization Runs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'Mix Models'!$D$7:$D$10</c15:sqref>
                  </c15:fullRef>
                </c:ext>
              </c:extLst>
              <c:f>('Mix Models'!$D$7:$D$8,'Mix Models'!$D$10)</c:f>
              <c:numCache>
                <c:formatCode>General</c:formatCode>
                <c:ptCount val="3"/>
                <c:pt idx="0">
                  <c:v>0</c:v>
                </c:pt>
                <c:pt idx="1">
                  <c:v>4</c:v>
                </c:pt>
                <c:pt idx="2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F5-4615-A187-6D321ED0CD90}"/>
            </c:ext>
          </c:extLst>
        </c:ser>
        <c:ser>
          <c:idx val="3"/>
          <c:order val="1"/>
          <c:tx>
            <c:strRef>
              <c:f>'Mix Models'!$F$4:$F$5</c:f>
              <c:strCache>
                <c:ptCount val="2"/>
                <c:pt idx="0">
                  <c:v>Opus 4.8</c:v>
                </c:pt>
                <c:pt idx="1">
                  <c:v>Freestyle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'Mix Models'!$B$7:$B$10</c15:sqref>
                  </c15:fullRef>
                </c:ext>
              </c:extLst>
              <c:f>('Mix Models'!$B$7:$B$8,'Mix Models'!$B$10)</c:f>
              <c:strCache>
                <c:ptCount val="3"/>
                <c:pt idx="0">
                  <c:v>Human Measurements</c:v>
                </c:pt>
                <c:pt idx="1">
                  <c:v>Wall Contacts</c:v>
                </c:pt>
                <c:pt idx="2">
                  <c:v>Characterization Runs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'Mix Models'!$F$7:$F$10</c15:sqref>
                  </c15:fullRef>
                </c:ext>
              </c:extLst>
              <c:f>('Mix Models'!$F$7:$F$8,'Mix Models'!$F$10)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1F5-4615-A187-6D321ED0CD90}"/>
            </c:ext>
          </c:extLst>
        </c:ser>
        <c:ser>
          <c:idx val="5"/>
          <c:order val="2"/>
          <c:tx>
            <c:strRef>
              <c:f>'Mix Models'!$H$4:$H$5</c:f>
              <c:strCache>
                <c:ptCount val="2"/>
                <c:pt idx="0">
                  <c:v>Opus 4.8</c:v>
                </c:pt>
                <c:pt idx="1">
                  <c:v>Freestyle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Human Measurements</c:v>
              </c:pt>
              <c:pt idx="1">
                <c:v>Wall Contacts</c:v>
              </c:pt>
              <c:pt idx="2">
                <c:v>Characterization Runs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'Mix Models'!$H$7:$H$10</c15:sqref>
                  </c15:fullRef>
                </c:ext>
              </c:extLst>
              <c:f>('Mix Models'!$H$7:$H$8,'Mix Models'!$H$10)</c:f>
              <c:numCache>
                <c:formatCode>General</c:formatCode>
                <c:ptCount val="3"/>
                <c:pt idx="0">
                  <c:v>1</c:v>
                </c:pt>
                <c:pt idx="1">
                  <c:v>0</c:v>
                </c:pt>
                <c:pt idx="2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1F5-4615-A187-6D321ED0CD90}"/>
            </c:ext>
          </c:extLst>
        </c:ser>
        <c:ser>
          <c:idx val="7"/>
          <c:order val="3"/>
          <c:tx>
            <c:strRef>
              <c:f>'Mix Models'!$J$4:$J$5</c:f>
              <c:strCache>
                <c:ptCount val="2"/>
                <c:pt idx="0">
                  <c:v>Opus 4.8</c:v>
                </c:pt>
                <c:pt idx="1">
                  <c:v>Freestyle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Human Measurements</c:v>
              </c:pt>
              <c:pt idx="1">
                <c:v>Wall Contacts</c:v>
              </c:pt>
              <c:pt idx="2">
                <c:v>Characterization Runs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'Mix Models'!$J$7:$J$10</c15:sqref>
                  </c15:fullRef>
                </c:ext>
              </c:extLst>
              <c:f>('Mix Models'!$J$7:$J$8,'Mix Models'!$J$10)</c:f>
              <c:numCache>
                <c:formatCode>General</c:formatCode>
                <c:ptCount val="3"/>
                <c:pt idx="0">
                  <c:v>0</c:v>
                </c:pt>
                <c:pt idx="1">
                  <c:v>1</c:v>
                </c:pt>
                <c:pt idx="2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1F5-4615-A187-6D321ED0CD90}"/>
            </c:ext>
          </c:extLst>
        </c:ser>
        <c:ser>
          <c:idx val="6"/>
          <c:order val="4"/>
          <c:tx>
            <c:strRef>
              <c:f>'Mix Models'!$I$4:$I$5</c:f>
              <c:strCache>
                <c:ptCount val="2"/>
                <c:pt idx="0">
                  <c:v>Opus 4.8</c:v>
                </c:pt>
                <c:pt idx="1">
                  <c:v>SE v2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Human Measurements</c:v>
              </c:pt>
              <c:pt idx="1">
                <c:v>Wall Contacts</c:v>
              </c:pt>
              <c:pt idx="2">
                <c:v>Characterization Runs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'Mix Models'!$I$7:$I$10</c15:sqref>
                  </c15:fullRef>
                </c:ext>
              </c:extLst>
              <c:f>('Mix Models'!$I$7:$I$8,'Mix Models'!$I$10)</c:f>
              <c:numCache>
                <c:formatCode>General</c:formatCode>
                <c:ptCount val="3"/>
                <c:pt idx="0">
                  <c:v>4</c:v>
                </c:pt>
                <c:pt idx="1">
                  <c:v>1</c:v>
                </c:pt>
                <c:pt idx="2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1F5-4615-A187-6D321ED0CD90}"/>
            </c:ext>
          </c:extLst>
        </c:ser>
        <c:ser>
          <c:idx val="8"/>
          <c:order val="5"/>
          <c:tx>
            <c:strRef>
              <c:f>'Mix Models'!$K$4:$K$5</c:f>
              <c:strCache>
                <c:ptCount val="2"/>
                <c:pt idx="0">
                  <c:v>Opus 4.8</c:v>
                </c:pt>
                <c:pt idx="1">
                  <c:v>SE v2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Human Measurements</c:v>
              </c:pt>
              <c:pt idx="1">
                <c:v>Wall Contacts</c:v>
              </c:pt>
              <c:pt idx="2">
                <c:v>Characterization Runs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'Mix Models'!$K$7:$K$10</c15:sqref>
                  </c15:fullRef>
                </c:ext>
              </c:extLst>
              <c:f>('Mix Models'!$K$7:$K$8,'Mix Models'!$K$10)</c:f>
              <c:numCache>
                <c:formatCode>General</c:formatCode>
                <c:ptCount val="3"/>
                <c:pt idx="0">
                  <c:v>1</c:v>
                </c:pt>
                <c:pt idx="1">
                  <c:v>0</c:v>
                </c:pt>
                <c:pt idx="2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1F5-4615-A187-6D321ED0CD90}"/>
            </c:ext>
          </c:extLst>
        </c:ser>
        <c:ser>
          <c:idx val="9"/>
          <c:order val="6"/>
          <c:tx>
            <c:strRef>
              <c:f>'Mix Models'!$L$4:$L$5</c:f>
              <c:strCache>
                <c:ptCount val="2"/>
                <c:pt idx="0">
                  <c:v>Opus 4.8</c:v>
                </c:pt>
                <c:pt idx="1">
                  <c:v>SE v2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Human Measurements</c:v>
              </c:pt>
              <c:pt idx="1">
                <c:v>Wall Contacts</c:v>
              </c:pt>
              <c:pt idx="2">
                <c:v>Characterization Runs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'Mix Models'!$L$7:$L$10</c15:sqref>
                  </c15:fullRef>
                </c:ext>
              </c:extLst>
              <c:f>('Mix Models'!$L$7:$L$8,'Mix Models'!$L$10)</c:f>
              <c:numCache>
                <c:formatCode>General</c:formatCode>
                <c:ptCount val="3"/>
                <c:pt idx="0">
                  <c:v>2</c:v>
                </c:pt>
                <c:pt idx="1">
                  <c:v>0</c:v>
                </c:pt>
                <c:pt idx="2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1F5-4615-A187-6D321ED0CD90}"/>
            </c:ext>
          </c:extLst>
        </c:ser>
        <c:ser>
          <c:idx val="10"/>
          <c:order val="7"/>
          <c:tx>
            <c:strRef>
              <c:f>'Mix Models'!$M$4:$M$5</c:f>
              <c:strCache>
                <c:ptCount val="2"/>
                <c:pt idx="0">
                  <c:v>Opus 4.8</c:v>
                </c:pt>
                <c:pt idx="1">
                  <c:v>SE v2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Human Measurements</c:v>
              </c:pt>
              <c:pt idx="1">
                <c:v>Wall Contacts</c:v>
              </c:pt>
              <c:pt idx="2">
                <c:v>Characterization Runs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'Mix Models'!$M$7:$M$10</c15:sqref>
                  </c15:fullRef>
                </c:ext>
              </c:extLst>
              <c:f>('Mix Models'!$M$7:$M$8,'Mix Models'!$M$10)</c:f>
              <c:numCache>
                <c:formatCode>General</c:formatCode>
                <c:ptCount val="3"/>
                <c:pt idx="0">
                  <c:v>1</c:v>
                </c:pt>
                <c:pt idx="1">
                  <c:v>0</c:v>
                </c:pt>
                <c:pt idx="2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C1F5-4615-A187-6D321ED0CD90}"/>
            </c:ext>
          </c:extLst>
        </c:ser>
        <c:ser>
          <c:idx val="2"/>
          <c:order val="8"/>
          <c:tx>
            <c:strRef>
              <c:f>'Mix Models'!$S$4:$S$5</c:f>
              <c:strCache>
                <c:ptCount val="2"/>
                <c:pt idx="0">
                  <c:v>Opus 5</c:v>
                </c:pt>
                <c:pt idx="1">
                  <c:v>Freestyle</c:v>
                </c:pt>
              </c:strCache>
            </c:strRef>
          </c:tx>
          <c:spPr>
            <a:solidFill>
              <a:srgbClr val="994010"/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Human Measurements</c:v>
              </c:pt>
              <c:pt idx="1">
                <c:v>Wall Contacts</c:v>
              </c:pt>
              <c:pt idx="2">
                <c:v>Characterization Runs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'Mix Models'!$S$7:$S$10</c15:sqref>
                  </c15:fullRef>
                </c:ext>
              </c:extLst>
              <c:f>('Mix Models'!$S$7:$S$8,'Mix Models'!$S$10)</c:f>
              <c:numCache>
                <c:formatCode>General</c:formatCode>
                <c:ptCount val="3"/>
                <c:pt idx="0">
                  <c:v>0</c:v>
                </c:pt>
                <c:pt idx="1">
                  <c:v>1</c:v>
                </c:pt>
                <c:pt idx="2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C1F5-4615-A187-6D321ED0CD90}"/>
            </c:ext>
          </c:extLst>
        </c:ser>
        <c:ser>
          <c:idx val="11"/>
          <c:order val="9"/>
          <c:tx>
            <c:strRef>
              <c:f>'Mix Models'!$U$4:$U$5</c:f>
              <c:strCache>
                <c:ptCount val="2"/>
                <c:pt idx="0">
                  <c:v>Opus 5</c:v>
                </c:pt>
                <c:pt idx="1">
                  <c:v>Freestyle</c:v>
                </c:pt>
              </c:strCache>
            </c:strRef>
          </c:tx>
          <c:spPr>
            <a:solidFill>
              <a:srgbClr val="994010"/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Human Measurements</c:v>
              </c:pt>
              <c:pt idx="1">
                <c:v>Wall Contacts</c:v>
              </c:pt>
              <c:pt idx="2">
                <c:v>Characterization Runs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'Mix Models'!$U$7:$U$10</c15:sqref>
                  </c15:fullRef>
                </c:ext>
              </c:extLst>
              <c:f>('Mix Models'!$U$7:$U$8,'Mix Models'!$U$10)</c:f>
              <c:numCache>
                <c:formatCode>General</c:formatCode>
                <c:ptCount val="3"/>
                <c:pt idx="0">
                  <c:v>1</c:v>
                </c:pt>
                <c:pt idx="1">
                  <c:v>0</c:v>
                </c:pt>
                <c:pt idx="2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C1F5-4615-A187-6D321ED0CD90}"/>
            </c:ext>
          </c:extLst>
        </c:ser>
        <c:ser>
          <c:idx val="12"/>
          <c:order val="10"/>
          <c:tx>
            <c:strRef>
              <c:f>'Mix Models'!$W$4:$W$5</c:f>
              <c:strCache>
                <c:ptCount val="2"/>
                <c:pt idx="0">
                  <c:v>Opus 5</c:v>
                </c:pt>
                <c:pt idx="1">
                  <c:v>Freestyle</c:v>
                </c:pt>
              </c:strCache>
            </c:strRef>
          </c:tx>
          <c:spPr>
            <a:solidFill>
              <a:srgbClr val="994010"/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Human Measurements</c:v>
              </c:pt>
              <c:pt idx="1">
                <c:v>Wall Contacts</c:v>
              </c:pt>
              <c:pt idx="2">
                <c:v>Characterization Runs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'Mix Models'!$W$7:$W$10</c15:sqref>
                  </c15:fullRef>
                </c:ext>
              </c:extLst>
              <c:f>('Mix Models'!$W$7:$W$8,'Mix Models'!$W$10)</c:f>
              <c:numCache>
                <c:formatCode>General</c:formatCode>
                <c:ptCount val="3"/>
                <c:pt idx="0">
                  <c:v>1</c:v>
                </c:pt>
                <c:pt idx="1">
                  <c:v>0</c:v>
                </c:pt>
                <c:pt idx="2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C1F5-4615-A187-6D321ED0CD90}"/>
            </c:ext>
          </c:extLst>
        </c:ser>
        <c:ser>
          <c:idx val="13"/>
          <c:order val="11"/>
          <c:tx>
            <c:strRef>
              <c:f>'Mix Models'!$Y$4:$Y$5</c:f>
              <c:strCache>
                <c:ptCount val="2"/>
                <c:pt idx="0">
                  <c:v>Opus 5</c:v>
                </c:pt>
                <c:pt idx="1">
                  <c:v>Freestyle</c:v>
                </c:pt>
              </c:strCache>
            </c:strRef>
          </c:tx>
          <c:spPr>
            <a:solidFill>
              <a:srgbClr val="994010"/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Human Measurements</c:v>
              </c:pt>
              <c:pt idx="1">
                <c:v>Wall Contacts</c:v>
              </c:pt>
              <c:pt idx="2">
                <c:v>Characterization Runs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'Mix Models'!$Y$7:$Y$10</c15:sqref>
                  </c15:fullRef>
                </c:ext>
              </c:extLst>
              <c:f>('Mix Models'!$Y$7:$Y$8,'Mix Models'!$Y$10)</c:f>
              <c:numCache>
                <c:formatCode>General</c:formatCode>
                <c:ptCount val="3"/>
                <c:pt idx="0">
                  <c:v>1</c:v>
                </c:pt>
                <c:pt idx="1">
                  <c:v>0</c:v>
                </c:pt>
                <c:pt idx="2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C1F5-4615-A187-6D321ED0CD90}"/>
            </c:ext>
          </c:extLst>
        </c:ser>
        <c:ser>
          <c:idx val="0"/>
          <c:order val="12"/>
          <c:tx>
            <c:strRef>
              <c:f>'Mix Models'!$R$4:$R$5</c:f>
              <c:strCache>
                <c:ptCount val="2"/>
                <c:pt idx="0">
                  <c:v>Opus 5</c:v>
                </c:pt>
                <c:pt idx="1">
                  <c:v>SE v2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Human Measurements</c:v>
              </c:pt>
              <c:pt idx="1">
                <c:v>Wall Contacts</c:v>
              </c:pt>
              <c:pt idx="2">
                <c:v>Characterization Runs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'Mix Models'!$R$7:$R$10</c15:sqref>
                  </c15:fullRef>
                </c:ext>
              </c:extLst>
              <c:f>('Mix Models'!$R$7:$R$8,'Mix Models'!$R$10)</c:f>
              <c:numCache>
                <c:formatCode>General</c:formatCode>
                <c:ptCount val="3"/>
                <c:pt idx="0">
                  <c:v>2</c:v>
                </c:pt>
                <c:pt idx="1">
                  <c:v>0</c:v>
                </c:pt>
                <c:pt idx="2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C1F5-4615-A187-6D321ED0CD90}"/>
            </c:ext>
          </c:extLst>
        </c:ser>
        <c:ser>
          <c:idx val="4"/>
          <c:order val="13"/>
          <c:tx>
            <c:strRef>
              <c:f>'Mix Models'!$T$4:$T$5</c:f>
              <c:strCache>
                <c:ptCount val="2"/>
                <c:pt idx="0">
                  <c:v>Opus 5</c:v>
                </c:pt>
                <c:pt idx="1">
                  <c:v>SE v2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Human Measurements</c:v>
              </c:pt>
              <c:pt idx="1">
                <c:v>Wall Contacts</c:v>
              </c:pt>
              <c:pt idx="2">
                <c:v>Characterization Runs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'Mix Models'!$T$7:$T$10</c15:sqref>
                  </c15:fullRef>
                </c:ext>
              </c:extLst>
              <c:f>('Mix Models'!$T$7:$T$8,'Mix Models'!$T$10)</c:f>
              <c:numCache>
                <c:formatCode>General</c:formatCode>
                <c:ptCount val="3"/>
                <c:pt idx="0">
                  <c:v>6</c:v>
                </c:pt>
                <c:pt idx="1">
                  <c:v>0</c:v>
                </c:pt>
                <c:pt idx="2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C1F5-4615-A187-6D321ED0CD90}"/>
            </c:ext>
          </c:extLst>
        </c:ser>
        <c:ser>
          <c:idx val="14"/>
          <c:order val="14"/>
          <c:tx>
            <c:strRef>
              <c:f>'Mix Models'!$V$4:$V$5</c:f>
              <c:strCache>
                <c:ptCount val="2"/>
                <c:pt idx="0">
                  <c:v>Opus 5</c:v>
                </c:pt>
                <c:pt idx="1">
                  <c:v>SE v2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Human Measurements</c:v>
              </c:pt>
              <c:pt idx="1">
                <c:v>Wall Contacts</c:v>
              </c:pt>
              <c:pt idx="2">
                <c:v>Characterization Runs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'Mix Models'!$V$7:$V$10</c15:sqref>
                  </c15:fullRef>
                </c:ext>
              </c:extLst>
              <c:f>('Mix Models'!$V$7:$V$8,'Mix Models'!$V$10)</c:f>
              <c:numCache>
                <c:formatCode>General</c:formatCode>
                <c:ptCount val="3"/>
                <c:pt idx="0">
                  <c:v>5</c:v>
                </c:pt>
                <c:pt idx="1">
                  <c:v>0</c:v>
                </c:pt>
                <c:pt idx="2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C1F5-4615-A187-6D321ED0CD90}"/>
            </c:ext>
          </c:extLst>
        </c:ser>
        <c:ser>
          <c:idx val="15"/>
          <c:order val="15"/>
          <c:tx>
            <c:strRef>
              <c:f>'Mix Models'!$X$4:$X$5</c:f>
              <c:strCache>
                <c:ptCount val="2"/>
                <c:pt idx="0">
                  <c:v>Opus 5</c:v>
                </c:pt>
                <c:pt idx="1">
                  <c:v>SE v2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Human Measurements</c:v>
              </c:pt>
              <c:pt idx="1">
                <c:v>Wall Contacts</c:v>
              </c:pt>
              <c:pt idx="2">
                <c:v>Characterization Runs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'Mix Models'!$X$7:$X$10</c15:sqref>
                  </c15:fullRef>
                </c:ext>
              </c:extLst>
              <c:f>('Mix Models'!$X$7:$X$8,'Mix Models'!$X$10)</c:f>
              <c:numCache>
                <c:formatCode>General</c:formatCode>
                <c:ptCount val="3"/>
                <c:pt idx="0">
                  <c:v>3</c:v>
                </c:pt>
                <c:pt idx="1">
                  <c:v>1</c:v>
                </c:pt>
                <c:pt idx="2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C1F5-4615-A187-6D321ED0CD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3320239"/>
        <c:axId val="83323119"/>
      </c:barChart>
      <c:catAx>
        <c:axId val="833202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323119"/>
        <c:crosses val="autoZero"/>
        <c:auto val="1"/>
        <c:lblAlgn val="ctr"/>
        <c:lblOffset val="100"/>
        <c:noMultiLvlLbl val="0"/>
      </c:catAx>
      <c:valAx>
        <c:axId val="833231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3202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1"/>
        <c:delete val="1"/>
      </c:legendEntry>
      <c:legendEntry>
        <c:idx val="2"/>
        <c:delete val="1"/>
      </c:legendEntry>
      <c:legendEntry>
        <c:idx val="3"/>
        <c:delete val="1"/>
      </c:legendEntry>
      <c:legendEntry>
        <c:idx val="5"/>
        <c:delete val="1"/>
      </c:legendEntry>
      <c:legendEntry>
        <c:idx val="6"/>
        <c:delete val="1"/>
      </c:legendEntry>
      <c:legendEntry>
        <c:idx val="7"/>
        <c:delete val="1"/>
      </c:legendEntry>
      <c:legendEntry>
        <c:idx val="9"/>
        <c:delete val="1"/>
      </c:legendEntry>
      <c:legendEntry>
        <c:idx val="10"/>
        <c:delete val="1"/>
      </c:legendEntry>
      <c:legendEntry>
        <c:idx val="11"/>
        <c:delete val="1"/>
      </c:legendEntry>
      <c:legendEntry>
        <c:idx val="13"/>
        <c:delete val="1"/>
      </c:legendEntry>
      <c:legendEntry>
        <c:idx val="14"/>
        <c:delete val="1"/>
      </c:legendEntry>
      <c:legendEntry>
        <c:idx val="15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3"/>
          <c:order val="0"/>
          <c:tx>
            <c:strRef>
              <c:f>'Mix Models'!$C$4:$C$5</c:f>
              <c:strCache>
                <c:ptCount val="2"/>
                <c:pt idx="0">
                  <c:v>Opus 4.8</c:v>
                </c:pt>
                <c:pt idx="1">
                  <c:v>SE v0</c:v>
                </c:pt>
              </c:strCache>
            </c:strRef>
          </c:tx>
          <c:spPr>
            <a:ln w="19050">
              <a:solidFill>
                <a:schemeClr val="accent4">
                  <a:lumMod val="40000"/>
                  <a:lumOff val="60000"/>
                </a:schemeClr>
              </a:solidFill>
            </a:ln>
          </c:spPr>
          <c:marker>
            <c:symbol val="none"/>
          </c:marker>
          <c:yVal>
            <c:numRef>
              <c:f>'Mix Models'!$C$17:$C$30</c:f>
              <c:numCache>
                <c:formatCode>General</c:formatCode>
                <c:ptCount val="14"/>
                <c:pt idx="2">
                  <c:v>314</c:v>
                </c:pt>
                <c:pt idx="3">
                  <c:v>359</c:v>
                </c:pt>
                <c:pt idx="4">
                  <c:v>641</c:v>
                </c:pt>
                <c:pt idx="5">
                  <c:v>409</c:v>
                </c:pt>
                <c:pt idx="6">
                  <c:v>366</c:v>
                </c:pt>
                <c:pt idx="7">
                  <c:v>469</c:v>
                </c:pt>
                <c:pt idx="8">
                  <c:v>173</c:v>
                </c:pt>
                <c:pt idx="9">
                  <c:v>197</c:v>
                </c:pt>
                <c:pt idx="10">
                  <c:v>171</c:v>
                </c:pt>
                <c:pt idx="11">
                  <c:v>198</c:v>
                </c:pt>
                <c:pt idx="12">
                  <c:v>196</c:v>
                </c:pt>
                <c:pt idx="13">
                  <c:v>200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1C52-427F-8239-69C947C76571}"/>
            </c:ext>
          </c:extLst>
        </c:ser>
        <c:ser>
          <c:idx val="2"/>
          <c:order val="1"/>
          <c:tx>
            <c:strRef>
              <c:f>'Mix Models'!$E$4:$E$5</c:f>
              <c:strCache>
                <c:ptCount val="2"/>
                <c:pt idx="0">
                  <c:v>Opus 4.8</c:v>
                </c:pt>
                <c:pt idx="1">
                  <c:v>SE v1</c:v>
                </c:pt>
              </c:strCache>
            </c:strRef>
          </c:tx>
          <c:spPr>
            <a:ln w="19050">
              <a:solidFill>
                <a:srgbClr val="00B0F0"/>
              </a:solidFill>
            </a:ln>
          </c:spPr>
          <c:marker>
            <c:symbol val="none"/>
          </c:marker>
          <c:yVal>
            <c:numRef>
              <c:f>'Mix Models'!$E$17:$E$30</c:f>
              <c:numCache>
                <c:formatCode>General</c:formatCode>
                <c:ptCount val="14"/>
                <c:pt idx="1">
                  <c:v>442</c:v>
                </c:pt>
                <c:pt idx="2">
                  <c:v>689</c:v>
                </c:pt>
                <c:pt idx="3">
                  <c:v>479</c:v>
                </c:pt>
                <c:pt idx="4">
                  <c:v>264</c:v>
                </c:pt>
                <c:pt idx="5">
                  <c:v>74</c:v>
                </c:pt>
                <c:pt idx="6">
                  <c:v>72</c:v>
                </c:pt>
                <c:pt idx="7">
                  <c:v>71</c:v>
                </c:pt>
                <c:pt idx="8">
                  <c:v>62</c:v>
                </c:pt>
                <c:pt idx="9">
                  <c:v>72</c:v>
                </c:pt>
                <c:pt idx="10">
                  <c:v>77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1C52-427F-8239-69C947C76571}"/>
            </c:ext>
          </c:extLst>
        </c:ser>
        <c:ser>
          <c:idx val="0"/>
          <c:order val="2"/>
          <c:tx>
            <c:strRef>
              <c:f>'Mix Models'!$G$4:$G$5</c:f>
              <c:strCache>
                <c:ptCount val="2"/>
                <c:pt idx="0">
                  <c:v>Opus 4.8</c:v>
                </c:pt>
                <c:pt idx="1">
                  <c:v>SE v1</c:v>
                </c:pt>
              </c:strCache>
            </c:strRef>
          </c:tx>
          <c:spPr>
            <a:ln w="19050">
              <a:solidFill>
                <a:srgbClr val="00B0F0"/>
              </a:solidFill>
            </a:ln>
          </c:spPr>
          <c:marker>
            <c:symbol val="none"/>
          </c:marker>
          <c:yVal>
            <c:numRef>
              <c:f>'Mix Models'!$G$17:$G$30</c:f>
              <c:numCache>
                <c:formatCode>General</c:formatCode>
                <c:ptCount val="14"/>
                <c:pt idx="0">
                  <c:v>533</c:v>
                </c:pt>
                <c:pt idx="1">
                  <c:v>498</c:v>
                </c:pt>
                <c:pt idx="2">
                  <c:v>530</c:v>
                </c:pt>
                <c:pt idx="3">
                  <c:v>138</c:v>
                </c:pt>
                <c:pt idx="4">
                  <c:v>148</c:v>
                </c:pt>
                <c:pt idx="5">
                  <c:v>157</c:v>
                </c:pt>
                <c:pt idx="6">
                  <c:v>135</c:v>
                </c:pt>
                <c:pt idx="7">
                  <c:v>145</c:v>
                </c:pt>
                <c:pt idx="8">
                  <c:v>147</c:v>
                </c:pt>
                <c:pt idx="9">
                  <c:v>156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1C52-427F-8239-69C947C76571}"/>
            </c:ext>
          </c:extLst>
        </c:ser>
        <c:ser>
          <c:idx val="7"/>
          <c:order val="3"/>
          <c:tx>
            <c:strRef>
              <c:f>'Mix Models'!$I$4:$I$5</c:f>
              <c:strCache>
                <c:ptCount val="2"/>
                <c:pt idx="0">
                  <c:v>Opus 4.8</c:v>
                </c:pt>
                <c:pt idx="1">
                  <c:v>SE v2</c:v>
                </c:pt>
              </c:strCache>
            </c:strRef>
          </c:tx>
          <c:spPr>
            <a:ln w="19050">
              <a:solidFill>
                <a:schemeClr val="accent4">
                  <a:lumMod val="75000"/>
                </a:schemeClr>
              </a:solidFill>
            </a:ln>
          </c:spPr>
          <c:marker>
            <c:symbol val="none"/>
          </c:marker>
          <c:yVal>
            <c:numRef>
              <c:f>'Mix Models'!$I$17:$I$30</c:f>
              <c:numCache>
                <c:formatCode>General</c:formatCode>
                <c:ptCount val="14"/>
                <c:pt idx="1">
                  <c:v>196</c:v>
                </c:pt>
                <c:pt idx="2">
                  <c:v>113</c:v>
                </c:pt>
                <c:pt idx="3">
                  <c:v>138</c:v>
                </c:pt>
                <c:pt idx="4">
                  <c:v>28</c:v>
                </c:pt>
                <c:pt idx="5">
                  <c:v>46</c:v>
                </c:pt>
                <c:pt idx="6">
                  <c:v>46</c:v>
                </c:pt>
                <c:pt idx="7">
                  <c:v>45</c:v>
                </c:pt>
                <c:pt idx="8">
                  <c:v>32</c:v>
                </c:pt>
                <c:pt idx="9">
                  <c:v>51</c:v>
                </c:pt>
                <c:pt idx="10">
                  <c:v>46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1C52-427F-8239-69C947C76571}"/>
            </c:ext>
          </c:extLst>
        </c:ser>
        <c:ser>
          <c:idx val="8"/>
          <c:order val="4"/>
          <c:tx>
            <c:strRef>
              <c:f>'Mix Models'!$K$4:$K$5</c:f>
              <c:strCache>
                <c:ptCount val="2"/>
                <c:pt idx="0">
                  <c:v>Opus 4.8</c:v>
                </c:pt>
                <c:pt idx="1">
                  <c:v>SE v2</c:v>
                </c:pt>
              </c:strCache>
            </c:strRef>
          </c:tx>
          <c:spPr>
            <a:ln w="19050">
              <a:solidFill>
                <a:schemeClr val="accent4">
                  <a:lumMod val="75000"/>
                </a:schemeClr>
              </a:solidFill>
            </a:ln>
          </c:spPr>
          <c:marker>
            <c:symbol val="none"/>
          </c:marker>
          <c:yVal>
            <c:numRef>
              <c:f>'Mix Models'!$K$17:$K$30</c:f>
              <c:numCache>
                <c:formatCode>General</c:formatCode>
                <c:ptCount val="14"/>
                <c:pt idx="0">
                  <c:v>515</c:v>
                </c:pt>
                <c:pt idx="1">
                  <c:v>522</c:v>
                </c:pt>
                <c:pt idx="2">
                  <c:v>513</c:v>
                </c:pt>
                <c:pt idx="3">
                  <c:v>542</c:v>
                </c:pt>
                <c:pt idx="4">
                  <c:v>33</c:v>
                </c:pt>
                <c:pt idx="5">
                  <c:v>31</c:v>
                </c:pt>
                <c:pt idx="6">
                  <c:v>47</c:v>
                </c:pt>
                <c:pt idx="7">
                  <c:v>50</c:v>
                </c:pt>
                <c:pt idx="8">
                  <c:v>41</c:v>
                </c:pt>
                <c:pt idx="9">
                  <c:v>48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1C52-427F-8239-69C947C76571}"/>
            </c:ext>
          </c:extLst>
        </c:ser>
        <c:ser>
          <c:idx val="9"/>
          <c:order val="5"/>
          <c:tx>
            <c:strRef>
              <c:f>'Mix Models'!$L$4:$L$5</c:f>
              <c:strCache>
                <c:ptCount val="2"/>
                <c:pt idx="0">
                  <c:v>Opus 4.8</c:v>
                </c:pt>
                <c:pt idx="1">
                  <c:v>SE v2</c:v>
                </c:pt>
              </c:strCache>
            </c:strRef>
          </c:tx>
          <c:spPr>
            <a:ln w="19050">
              <a:solidFill>
                <a:schemeClr val="accent4">
                  <a:lumMod val="75000"/>
                </a:schemeClr>
              </a:solidFill>
            </a:ln>
          </c:spPr>
          <c:marker>
            <c:symbol val="none"/>
          </c:marker>
          <c:yVal>
            <c:numRef>
              <c:f>'Mix Models'!$L$17:$L$30</c:f>
              <c:numCache>
                <c:formatCode>General</c:formatCode>
                <c:ptCount val="14"/>
                <c:pt idx="1">
                  <c:v>321</c:v>
                </c:pt>
                <c:pt idx="2">
                  <c:v>232</c:v>
                </c:pt>
                <c:pt idx="3">
                  <c:v>122</c:v>
                </c:pt>
                <c:pt idx="4">
                  <c:v>43</c:v>
                </c:pt>
                <c:pt idx="5">
                  <c:v>19</c:v>
                </c:pt>
                <c:pt idx="6">
                  <c:v>22</c:v>
                </c:pt>
                <c:pt idx="7">
                  <c:v>14</c:v>
                </c:pt>
                <c:pt idx="8">
                  <c:v>30</c:v>
                </c:pt>
                <c:pt idx="9">
                  <c:v>15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1C52-427F-8239-69C947C76571}"/>
            </c:ext>
          </c:extLst>
        </c:ser>
        <c:ser>
          <c:idx val="1"/>
          <c:order val="6"/>
          <c:tx>
            <c:strRef>
              <c:f>'Mix Models'!$M$4:$M$5</c:f>
              <c:strCache>
                <c:ptCount val="2"/>
                <c:pt idx="0">
                  <c:v>Opus 4.8</c:v>
                </c:pt>
                <c:pt idx="1">
                  <c:v>SE v2</c:v>
                </c:pt>
              </c:strCache>
            </c:strRef>
          </c:tx>
          <c:spPr>
            <a:ln w="19050">
              <a:solidFill>
                <a:schemeClr val="accent4">
                  <a:lumMod val="75000"/>
                </a:schemeClr>
              </a:solidFill>
            </a:ln>
          </c:spPr>
          <c:marker>
            <c:symbol val="none"/>
          </c:marker>
          <c:yVal>
            <c:numRef>
              <c:f>'Mix Models'!$M$17:$M$30</c:f>
              <c:numCache>
                <c:formatCode>General</c:formatCode>
                <c:ptCount val="14"/>
                <c:pt idx="1">
                  <c:v>374</c:v>
                </c:pt>
                <c:pt idx="2">
                  <c:v>184</c:v>
                </c:pt>
                <c:pt idx="3">
                  <c:v>167</c:v>
                </c:pt>
                <c:pt idx="4">
                  <c:v>166</c:v>
                </c:pt>
                <c:pt idx="5">
                  <c:v>35</c:v>
                </c:pt>
                <c:pt idx="6">
                  <c:v>36</c:v>
                </c:pt>
                <c:pt idx="7">
                  <c:v>35</c:v>
                </c:pt>
                <c:pt idx="8">
                  <c:v>36</c:v>
                </c:pt>
                <c:pt idx="9">
                  <c:v>36</c:v>
                </c:pt>
                <c:pt idx="10">
                  <c:v>35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1C52-427F-8239-69C947C765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30609439"/>
        <c:axId val="1430609919"/>
      </c:scatterChart>
      <c:valAx>
        <c:axId val="1430609439"/>
        <c:scaling>
          <c:orientation val="minMax"/>
          <c:max val="14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b="0" baseline="0"/>
                  <a:t>Characterization and Operation Runs</a:t>
                </a:r>
                <a:endParaRPr lang="en-US" b="0"/>
              </a:p>
            </c:rich>
          </c:tx>
          <c:overlay val="0"/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0609919"/>
        <c:crosses val="autoZero"/>
        <c:crossBetween val="midCat"/>
      </c:valAx>
      <c:valAx>
        <c:axId val="1430609919"/>
        <c:scaling>
          <c:orientation val="minMax"/>
          <c:max val="9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Stopping Distance to Wall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0609439"/>
        <c:crosses val="autoZero"/>
        <c:crossBetween val="midCat"/>
      </c:valAx>
    </c:plotArea>
    <c:legend>
      <c:legendPos val="b"/>
      <c:legendEntry>
        <c:idx val="2"/>
        <c:delete val="1"/>
      </c:legendEntry>
      <c:legendEntry>
        <c:idx val="4"/>
        <c:delete val="1"/>
      </c:legendEntry>
      <c:legendEntry>
        <c:idx val="5"/>
        <c:delete val="1"/>
      </c:legendEntry>
      <c:legendEntry>
        <c:idx val="6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ln w="9525">
      <a:solidFill>
        <a:schemeClr val="tx1"/>
      </a:solidFill>
    </a:ln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9.xml"/><Relationship Id="rId13" Type="http://schemas.openxmlformats.org/officeDocument/2006/relationships/chart" Target="../charts/chart24.xml"/><Relationship Id="rId3" Type="http://schemas.openxmlformats.org/officeDocument/2006/relationships/chart" Target="../charts/chart14.xml"/><Relationship Id="rId7" Type="http://schemas.openxmlformats.org/officeDocument/2006/relationships/chart" Target="../charts/chart18.xml"/><Relationship Id="rId12" Type="http://schemas.openxmlformats.org/officeDocument/2006/relationships/chart" Target="../charts/chart23.xml"/><Relationship Id="rId2" Type="http://schemas.openxmlformats.org/officeDocument/2006/relationships/chart" Target="../charts/chart13.xml"/><Relationship Id="rId1" Type="http://schemas.openxmlformats.org/officeDocument/2006/relationships/chart" Target="../charts/chart12.xml"/><Relationship Id="rId6" Type="http://schemas.openxmlformats.org/officeDocument/2006/relationships/chart" Target="../charts/chart17.xml"/><Relationship Id="rId11" Type="http://schemas.openxmlformats.org/officeDocument/2006/relationships/chart" Target="../charts/chart22.xml"/><Relationship Id="rId5" Type="http://schemas.openxmlformats.org/officeDocument/2006/relationships/chart" Target="../charts/chart16.xml"/><Relationship Id="rId15" Type="http://schemas.openxmlformats.org/officeDocument/2006/relationships/chart" Target="../charts/chart26.xml"/><Relationship Id="rId10" Type="http://schemas.openxmlformats.org/officeDocument/2006/relationships/chart" Target="../charts/chart21.xml"/><Relationship Id="rId4" Type="http://schemas.openxmlformats.org/officeDocument/2006/relationships/chart" Target="../charts/chart15.xml"/><Relationship Id="rId9" Type="http://schemas.openxmlformats.org/officeDocument/2006/relationships/chart" Target="../charts/chart20.xml"/><Relationship Id="rId14" Type="http://schemas.openxmlformats.org/officeDocument/2006/relationships/chart" Target="../charts/chart2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19</xdr:col>
      <xdr:colOff>0</xdr:colOff>
      <xdr:row>14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16FD840-7DC9-A323-C601-D3C1664B55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0</xdr:colOff>
      <xdr:row>15</xdr:row>
      <xdr:rowOff>0</xdr:rowOff>
    </xdr:from>
    <xdr:to>
      <xdr:col>19</xdr:col>
      <xdr:colOff>0</xdr:colOff>
      <xdr:row>29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F4C806B-8AF9-498A-9CF9-59D8E5CB173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20</xdr:col>
      <xdr:colOff>0</xdr:colOff>
      <xdr:row>1</xdr:row>
      <xdr:rowOff>0</xdr:rowOff>
    </xdr:from>
    <xdr:to>
      <xdr:col>25</xdr:col>
      <xdr:colOff>0</xdr:colOff>
      <xdr:row>14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6906456-FC7D-4DBE-A0A2-536E88359AE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20</xdr:col>
      <xdr:colOff>0</xdr:colOff>
      <xdr:row>15</xdr:row>
      <xdr:rowOff>0</xdr:rowOff>
    </xdr:from>
    <xdr:to>
      <xdr:col>25</xdr:col>
      <xdr:colOff>0</xdr:colOff>
      <xdr:row>29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ECA2C64-86AC-471E-8FDD-2F11C099BDB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14</xdr:col>
      <xdr:colOff>0</xdr:colOff>
      <xdr:row>30</xdr:row>
      <xdr:rowOff>0</xdr:rowOff>
    </xdr:from>
    <xdr:to>
      <xdr:col>19</xdr:col>
      <xdr:colOff>0</xdr:colOff>
      <xdr:row>44</xdr:row>
      <xdr:rowOff>3810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38BF8654-A8BA-46C1-A9C4-90B7A1784C7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20</xdr:col>
      <xdr:colOff>0</xdr:colOff>
      <xdr:row>30</xdr:row>
      <xdr:rowOff>0</xdr:rowOff>
    </xdr:from>
    <xdr:to>
      <xdr:col>25</xdr:col>
      <xdr:colOff>0</xdr:colOff>
      <xdr:row>44</xdr:row>
      <xdr:rowOff>1792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E096AD7-3B11-4918-9452-B06BC2A9DA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20</xdr:col>
      <xdr:colOff>0</xdr:colOff>
      <xdr:row>45</xdr:row>
      <xdr:rowOff>0</xdr:rowOff>
    </xdr:from>
    <xdr:to>
      <xdr:col>25</xdr:col>
      <xdr:colOff>0</xdr:colOff>
      <xdr:row>59</xdr:row>
      <xdr:rowOff>4649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B4FF5E7E-6FB9-4879-84F9-10C4C62657F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26</xdr:col>
      <xdr:colOff>0</xdr:colOff>
      <xdr:row>15</xdr:row>
      <xdr:rowOff>-1</xdr:rowOff>
    </xdr:from>
    <xdr:to>
      <xdr:col>37</xdr:col>
      <xdr:colOff>0</xdr:colOff>
      <xdr:row>29</xdr:row>
      <xdr:rowOff>1904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83F5AB33-CD8D-48B1-BD29-961F83F82B1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26</xdr:col>
      <xdr:colOff>0</xdr:colOff>
      <xdr:row>30</xdr:row>
      <xdr:rowOff>0</xdr:rowOff>
    </xdr:from>
    <xdr:to>
      <xdr:col>37</xdr:col>
      <xdr:colOff>0</xdr:colOff>
      <xdr:row>44</xdr:row>
      <xdr:rowOff>950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CC64B524-7147-46A4-A834-FD019F68A1B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26</xdr:col>
      <xdr:colOff>0</xdr:colOff>
      <xdr:row>1</xdr:row>
      <xdr:rowOff>0</xdr:rowOff>
    </xdr:from>
    <xdr:to>
      <xdr:col>31</xdr:col>
      <xdr:colOff>0</xdr:colOff>
      <xdr:row>14</xdr:row>
      <xdr:rowOff>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DFAF2AD3-D46B-4AE8-A4D0-02A3EB7BE52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32</xdr:col>
      <xdr:colOff>0</xdr:colOff>
      <xdr:row>1</xdr:row>
      <xdr:rowOff>0</xdr:rowOff>
    </xdr:from>
    <xdr:to>
      <xdr:col>37</xdr:col>
      <xdr:colOff>0</xdr:colOff>
      <xdr:row>13</xdr:row>
      <xdr:rowOff>174139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3C5C9EC7-7BF5-4F15-925D-E39D408C381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32</xdr:col>
      <xdr:colOff>0</xdr:colOff>
      <xdr:row>16</xdr:row>
      <xdr:rowOff>6666</xdr:rowOff>
    </xdr:from>
    <xdr:to>
      <xdr:col>37</xdr:col>
      <xdr:colOff>0</xdr:colOff>
      <xdr:row>30</xdr:row>
      <xdr:rowOff>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E1D9E54A-ABD5-4A2B-ABB7-044E9724C6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26</xdr:col>
      <xdr:colOff>0</xdr:colOff>
      <xdr:row>31</xdr:row>
      <xdr:rowOff>1</xdr:rowOff>
    </xdr:from>
    <xdr:to>
      <xdr:col>37</xdr:col>
      <xdr:colOff>6667</xdr:colOff>
      <xdr:row>45</xdr:row>
      <xdr:rowOff>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6E4749AA-2E0C-4C7E-8D66-E29A9FCC9F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32</xdr:col>
      <xdr:colOff>0</xdr:colOff>
      <xdr:row>1</xdr:row>
      <xdr:rowOff>0</xdr:rowOff>
    </xdr:from>
    <xdr:to>
      <xdr:col>37</xdr:col>
      <xdr:colOff>0</xdr:colOff>
      <xdr:row>15</xdr:row>
      <xdr:rowOff>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FEF06EAD-D0B3-40D4-94E3-09978132857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26</xdr:col>
      <xdr:colOff>0</xdr:colOff>
      <xdr:row>1</xdr:row>
      <xdr:rowOff>7108</xdr:rowOff>
    </xdr:from>
    <xdr:to>
      <xdr:col>31</xdr:col>
      <xdr:colOff>0</xdr:colOff>
      <xdr:row>15</xdr:row>
      <xdr:rowOff>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272E8386-91E6-47E9-A36A-FE182FCDF05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38</xdr:col>
      <xdr:colOff>0</xdr:colOff>
      <xdr:row>16</xdr:row>
      <xdr:rowOff>0</xdr:rowOff>
    </xdr:from>
    <xdr:to>
      <xdr:col>49</xdr:col>
      <xdr:colOff>0</xdr:colOff>
      <xdr:row>30</xdr:row>
      <xdr:rowOff>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CF0769AF-BF0D-4CB2-A281-6D2D208BDD9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38</xdr:col>
      <xdr:colOff>955</xdr:colOff>
      <xdr:row>1</xdr:row>
      <xdr:rowOff>0</xdr:rowOff>
    </xdr:from>
    <xdr:to>
      <xdr:col>43</xdr:col>
      <xdr:colOff>955</xdr:colOff>
      <xdr:row>15</xdr:row>
      <xdr:rowOff>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CA09B6D5-5FEA-453D-813D-9A15EFF392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44</xdr:col>
      <xdr:colOff>0</xdr:colOff>
      <xdr:row>1</xdr:row>
      <xdr:rowOff>0</xdr:rowOff>
    </xdr:from>
    <xdr:to>
      <xdr:col>49</xdr:col>
      <xdr:colOff>953</xdr:colOff>
      <xdr:row>15</xdr:row>
      <xdr:rowOff>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60CE79F9-F2F6-445D-8B43-BA2AB53DF3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56</xdr:col>
      <xdr:colOff>6803</xdr:colOff>
      <xdr:row>1</xdr:row>
      <xdr:rowOff>0</xdr:rowOff>
    </xdr:from>
    <xdr:to>
      <xdr:col>61</xdr:col>
      <xdr:colOff>0</xdr:colOff>
      <xdr:row>15</xdr:row>
      <xdr:rowOff>0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14F0BAEE-F75D-4E98-84B8-4856D4B607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50</xdr:col>
      <xdr:colOff>2043</xdr:colOff>
      <xdr:row>1</xdr:row>
      <xdr:rowOff>9557</xdr:rowOff>
    </xdr:from>
    <xdr:to>
      <xdr:col>55</xdr:col>
      <xdr:colOff>0</xdr:colOff>
      <xdr:row>15</xdr:row>
      <xdr:rowOff>0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4405B56E-9DA7-4903-A6F4-5914A1638F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68</xdr:col>
      <xdr:colOff>0</xdr:colOff>
      <xdr:row>1</xdr:row>
      <xdr:rowOff>0</xdr:rowOff>
    </xdr:from>
    <xdr:to>
      <xdr:col>73</xdr:col>
      <xdr:colOff>2857</xdr:colOff>
      <xdr:row>15</xdr:row>
      <xdr:rowOff>0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9566952C-A3F1-4FDF-B117-F1F1E1B03E4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62</xdr:col>
      <xdr:colOff>2</xdr:colOff>
      <xdr:row>1</xdr:row>
      <xdr:rowOff>0</xdr:rowOff>
    </xdr:from>
    <xdr:to>
      <xdr:col>67</xdr:col>
      <xdr:colOff>0</xdr:colOff>
      <xdr:row>15</xdr:row>
      <xdr:rowOff>0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1FE6669D-37D4-4E22-AA23-F292E8C1CF7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38</xdr:col>
      <xdr:colOff>0</xdr:colOff>
      <xdr:row>31</xdr:row>
      <xdr:rowOff>1</xdr:rowOff>
    </xdr:from>
    <xdr:to>
      <xdr:col>49</xdr:col>
      <xdr:colOff>0</xdr:colOff>
      <xdr:row>45</xdr:row>
      <xdr:rowOff>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C9E9CB7-4E87-46EC-ABCD-5064EBF6A92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50</xdr:col>
      <xdr:colOff>0</xdr:colOff>
      <xdr:row>16</xdr:row>
      <xdr:rowOff>2</xdr:rowOff>
    </xdr:from>
    <xdr:to>
      <xdr:col>61</xdr:col>
      <xdr:colOff>0</xdr:colOff>
      <xdr:row>30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1D5DC0E-3F63-4B92-9BDF-7B1D480096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50</xdr:col>
      <xdr:colOff>0</xdr:colOff>
      <xdr:row>31</xdr:row>
      <xdr:rowOff>0</xdr:rowOff>
    </xdr:from>
    <xdr:to>
      <xdr:col>61</xdr:col>
      <xdr:colOff>0</xdr:colOff>
      <xdr:row>45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74630FF-572A-42C4-8A7A-E015F2710E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26</xdr:col>
      <xdr:colOff>0</xdr:colOff>
      <xdr:row>15</xdr:row>
      <xdr:rowOff>181245</xdr:rowOff>
    </xdr:from>
    <xdr:to>
      <xdr:col>31</xdr:col>
      <xdr:colOff>1</xdr:colOff>
      <xdr:row>30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2F40B9F-37F0-405B-AE87-264A6CB8917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771CE9FA-DD47-4A7D-8E75-421D8798318C}">
  <we:reference id="wa200010725" version="1.0.0.1" store="en-US" storeType="OMEX"/>
  <we:alternateReferences>
    <we:reference id="WA200010725" version="1.0.0.1" store="" storeType="OMEX"/>
  </we:alternateReferences>
  <we:properties>
    <we:property name="claude.fileId" value="&quot;b05a59dc-8974-4d5e-af7e-365f37aa6666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FC483D-A2EB-4AB5-93A8-361DFBAB7337}">
  <dimension ref="B2:N46"/>
  <sheetViews>
    <sheetView zoomScale="70" zoomScaleNormal="70" workbookViewId="0">
      <pane xSplit="2" topLeftCell="C1" activePane="topRight" state="frozen"/>
      <selection pane="topRight"/>
    </sheetView>
  </sheetViews>
  <sheetFormatPr defaultRowHeight="14.25" x14ac:dyDescent="0.45"/>
  <cols>
    <col min="1" max="1" width="2.3984375" customWidth="1"/>
    <col min="2" max="2" width="14.265625" bestFit="1" customWidth="1"/>
    <col min="3" max="3" width="9.6640625" bestFit="1" customWidth="1"/>
    <col min="4" max="4" width="9.33203125" customWidth="1"/>
    <col min="5" max="5" width="9.6640625" bestFit="1" customWidth="1"/>
    <col min="6" max="6" width="9.33203125" bestFit="1" customWidth="1"/>
    <col min="7" max="13" width="9.33203125" customWidth="1"/>
    <col min="14" max="14" width="2.33203125" bestFit="1" customWidth="1"/>
    <col min="20" max="20" width="2.33203125" bestFit="1" customWidth="1"/>
    <col min="26" max="26" width="2.33203125" bestFit="1" customWidth="1"/>
    <col min="32" max="32" width="2.33203125" bestFit="1" customWidth="1"/>
  </cols>
  <sheetData>
    <row r="2" spans="2:14" x14ac:dyDescent="0.45">
      <c r="B2" s="1" t="s">
        <v>6</v>
      </c>
      <c r="C2" s="28">
        <v>46199</v>
      </c>
      <c r="D2" s="29">
        <v>46200</v>
      </c>
      <c r="E2" s="29">
        <v>46201</v>
      </c>
      <c r="F2" s="29">
        <v>46202</v>
      </c>
      <c r="G2" s="29">
        <v>46203</v>
      </c>
      <c r="H2" s="29">
        <v>46204</v>
      </c>
      <c r="I2" s="29">
        <v>46205</v>
      </c>
      <c r="J2" s="29">
        <v>46210</v>
      </c>
      <c r="K2" s="29">
        <v>46211</v>
      </c>
      <c r="L2" s="29">
        <v>46212</v>
      </c>
      <c r="M2" s="30">
        <v>46213</v>
      </c>
      <c r="N2" s="10"/>
    </row>
    <row r="3" spans="2:14" x14ac:dyDescent="0.45">
      <c r="B3" s="1" t="s">
        <v>3</v>
      </c>
      <c r="C3" s="31" t="s">
        <v>19</v>
      </c>
      <c r="D3" s="2" t="s">
        <v>4</v>
      </c>
      <c r="E3" s="2" t="s">
        <v>20</v>
      </c>
      <c r="F3" s="2" t="s">
        <v>5</v>
      </c>
      <c r="G3" s="2" t="s">
        <v>21</v>
      </c>
      <c r="H3" s="2" t="s">
        <v>9</v>
      </c>
      <c r="I3" s="2" t="s">
        <v>22</v>
      </c>
      <c r="J3" s="2" t="s">
        <v>14</v>
      </c>
      <c r="K3" s="2" t="s">
        <v>23</v>
      </c>
      <c r="L3" s="2" t="s">
        <v>24</v>
      </c>
      <c r="M3" s="25" t="s">
        <v>25</v>
      </c>
    </row>
    <row r="4" spans="2:14" s="12" customFormat="1" x14ac:dyDescent="0.45">
      <c r="B4" s="1" t="s">
        <v>10</v>
      </c>
      <c r="C4" s="32" t="s">
        <v>30</v>
      </c>
      <c r="D4" s="33" t="s">
        <v>30</v>
      </c>
      <c r="E4" s="33" t="s">
        <v>30</v>
      </c>
      <c r="F4" s="33" t="s">
        <v>30</v>
      </c>
      <c r="G4" s="33" t="s">
        <v>30</v>
      </c>
      <c r="H4" s="33" t="s">
        <v>30</v>
      </c>
      <c r="I4" s="33" t="s">
        <v>30</v>
      </c>
      <c r="J4" s="33" t="s">
        <v>30</v>
      </c>
      <c r="K4" s="33" t="s">
        <v>30</v>
      </c>
      <c r="L4" s="33" t="s">
        <v>30</v>
      </c>
      <c r="M4" s="34" t="s">
        <v>30</v>
      </c>
      <c r="N4" s="11"/>
    </row>
    <row r="5" spans="2:14" x14ac:dyDescent="0.45">
      <c r="B5" s="1" t="s">
        <v>0</v>
      </c>
      <c r="C5" s="35">
        <v>8</v>
      </c>
      <c r="D5" s="36">
        <v>7</v>
      </c>
      <c r="E5" s="36">
        <v>4</v>
      </c>
      <c r="F5" s="36">
        <v>6</v>
      </c>
      <c r="G5" s="36">
        <v>3</v>
      </c>
      <c r="H5" s="36">
        <v>6</v>
      </c>
      <c r="I5" s="36">
        <v>4</v>
      </c>
      <c r="J5" s="36">
        <v>4</v>
      </c>
      <c r="K5" s="36">
        <v>4</v>
      </c>
      <c r="L5" s="36">
        <v>3</v>
      </c>
      <c r="M5" s="27">
        <v>2</v>
      </c>
      <c r="N5" s="3"/>
    </row>
    <row r="6" spans="2:14" x14ac:dyDescent="0.45">
      <c r="B6" s="1" t="s">
        <v>18</v>
      </c>
      <c r="C6" s="37">
        <v>3</v>
      </c>
      <c r="D6" s="3">
        <v>0</v>
      </c>
      <c r="E6" s="3">
        <v>1</v>
      </c>
      <c r="F6" s="3">
        <v>0</v>
      </c>
      <c r="G6" s="3">
        <v>3</v>
      </c>
      <c r="H6" s="3">
        <v>1</v>
      </c>
      <c r="I6" s="3">
        <v>4</v>
      </c>
      <c r="J6" s="3">
        <v>0</v>
      </c>
      <c r="K6" s="3">
        <v>1</v>
      </c>
      <c r="L6" s="3">
        <v>2</v>
      </c>
      <c r="M6" s="19">
        <v>1</v>
      </c>
      <c r="N6" s="3"/>
    </row>
    <row r="7" spans="2:14" x14ac:dyDescent="0.45">
      <c r="B7" s="1" t="s">
        <v>17</v>
      </c>
      <c r="C7" s="37">
        <v>1</v>
      </c>
      <c r="D7" s="3">
        <v>4</v>
      </c>
      <c r="E7" s="3">
        <v>0</v>
      </c>
      <c r="F7" s="3">
        <v>0</v>
      </c>
      <c r="G7" s="3">
        <v>0</v>
      </c>
      <c r="H7" s="3">
        <v>0</v>
      </c>
      <c r="I7" s="3">
        <v>1</v>
      </c>
      <c r="J7" s="3">
        <v>1</v>
      </c>
      <c r="K7" s="3">
        <v>0</v>
      </c>
      <c r="L7" s="3">
        <v>0</v>
      </c>
      <c r="M7" s="19">
        <v>0</v>
      </c>
      <c r="N7" s="3"/>
    </row>
    <row r="8" spans="2:14" x14ac:dyDescent="0.45">
      <c r="B8" s="1" t="s">
        <v>1</v>
      </c>
      <c r="C8" s="37">
        <v>1</v>
      </c>
      <c r="D8" s="3">
        <v>1</v>
      </c>
      <c r="E8" s="3">
        <v>2</v>
      </c>
      <c r="F8" s="3">
        <v>0</v>
      </c>
      <c r="G8" s="3">
        <v>2</v>
      </c>
      <c r="H8" s="3">
        <v>0</v>
      </c>
      <c r="I8" s="3">
        <v>2</v>
      </c>
      <c r="J8" s="3">
        <v>1</v>
      </c>
      <c r="K8" s="3">
        <v>1</v>
      </c>
      <c r="L8" s="3">
        <v>2</v>
      </c>
      <c r="M8" s="19">
        <v>4</v>
      </c>
      <c r="N8" s="3"/>
    </row>
    <row r="9" spans="2:14" x14ac:dyDescent="0.45">
      <c r="B9" s="1" t="s">
        <v>7</v>
      </c>
      <c r="C9" s="38">
        <f t="shared" ref="C9:M9" si="0">C8+C5</f>
        <v>9</v>
      </c>
      <c r="D9" s="7">
        <f t="shared" si="0"/>
        <v>8</v>
      </c>
      <c r="E9" s="7">
        <f t="shared" si="0"/>
        <v>6</v>
      </c>
      <c r="F9" s="7">
        <f t="shared" si="0"/>
        <v>6</v>
      </c>
      <c r="G9" s="7">
        <f t="shared" si="0"/>
        <v>5</v>
      </c>
      <c r="H9" s="7">
        <f t="shared" si="0"/>
        <v>6</v>
      </c>
      <c r="I9" s="7">
        <f t="shared" si="0"/>
        <v>6</v>
      </c>
      <c r="J9" s="7">
        <f t="shared" si="0"/>
        <v>5</v>
      </c>
      <c r="K9" s="7">
        <f t="shared" si="0"/>
        <v>5</v>
      </c>
      <c r="L9" s="7">
        <f t="shared" si="0"/>
        <v>5</v>
      </c>
      <c r="M9" s="20">
        <f t="shared" si="0"/>
        <v>6</v>
      </c>
      <c r="N9" s="3"/>
    </row>
    <row r="10" spans="2:14" x14ac:dyDescent="0.45">
      <c r="B10" s="1" t="s">
        <v>2</v>
      </c>
      <c r="C10" s="39">
        <v>192.4</v>
      </c>
      <c r="D10" s="4">
        <v>91.8</v>
      </c>
      <c r="E10" s="4">
        <v>70.8</v>
      </c>
      <c r="F10" s="4">
        <v>213.8</v>
      </c>
      <c r="G10" s="4">
        <v>148</v>
      </c>
      <c r="H10" s="4">
        <v>167.4</v>
      </c>
      <c r="I10" s="4">
        <v>44</v>
      </c>
      <c r="J10" s="4">
        <v>175.4</v>
      </c>
      <c r="K10" s="4">
        <v>43.4</v>
      </c>
      <c r="L10" s="4">
        <v>20</v>
      </c>
      <c r="M10" s="21">
        <v>35.6</v>
      </c>
      <c r="N10" s="4"/>
    </row>
    <row r="11" spans="2:14" x14ac:dyDescent="0.45">
      <c r="B11" s="1" t="s">
        <v>11</v>
      </c>
      <c r="C11" s="40">
        <v>29</v>
      </c>
      <c r="D11" s="5">
        <v>18</v>
      </c>
      <c r="E11" s="5">
        <v>15</v>
      </c>
      <c r="F11" s="5">
        <v>77</v>
      </c>
      <c r="G11" s="5">
        <v>22</v>
      </c>
      <c r="H11" s="5">
        <v>223</v>
      </c>
      <c r="I11" s="5">
        <v>19</v>
      </c>
      <c r="J11" s="5">
        <v>32</v>
      </c>
      <c r="K11" s="5">
        <v>19</v>
      </c>
      <c r="L11" s="5">
        <v>16</v>
      </c>
      <c r="M11" s="22">
        <v>1</v>
      </c>
      <c r="N11" s="5"/>
    </row>
    <row r="12" spans="2:14" x14ac:dyDescent="0.45">
      <c r="B12" s="1" t="s">
        <v>13</v>
      </c>
      <c r="C12" s="41">
        <v>12.054044964243332</v>
      </c>
      <c r="D12" s="9">
        <v>7.5630681604756154</v>
      </c>
      <c r="E12" s="9">
        <v>5.4497706373754848</v>
      </c>
      <c r="F12" s="9">
        <v>39.277219860881154</v>
      </c>
      <c r="G12" s="9">
        <v>9</v>
      </c>
      <c r="H12" s="9">
        <v>113.0013274258316</v>
      </c>
      <c r="I12" s="9">
        <v>7.1063352017759476</v>
      </c>
      <c r="J12" s="9">
        <v>13.049904214207857</v>
      </c>
      <c r="K12" s="9">
        <v>7.700649323271394</v>
      </c>
      <c r="L12" s="9">
        <v>6.4420493633625631</v>
      </c>
      <c r="M12" s="23">
        <v>0.54772255750516607</v>
      </c>
      <c r="N12" s="5"/>
    </row>
    <row r="13" spans="2:14" x14ac:dyDescent="0.45">
      <c r="B13" s="1" t="s">
        <v>8</v>
      </c>
      <c r="C13" s="40">
        <v>173</v>
      </c>
      <c r="D13" s="5">
        <v>64</v>
      </c>
      <c r="E13" s="5">
        <v>70</v>
      </c>
      <c r="F13" s="5">
        <v>65</v>
      </c>
      <c r="G13" s="5">
        <v>43.5</v>
      </c>
      <c r="H13" s="5">
        <v>45</v>
      </c>
      <c r="I13" s="5">
        <v>47.5</v>
      </c>
      <c r="J13" s="5">
        <v>42</v>
      </c>
      <c r="K13" s="5">
        <v>45.1</v>
      </c>
      <c r="L13" s="5">
        <v>30</v>
      </c>
      <c r="M13" s="22">
        <v>34</v>
      </c>
      <c r="N13" s="5"/>
    </row>
    <row r="14" spans="2:14" x14ac:dyDescent="0.45">
      <c r="B14" s="1" t="s">
        <v>12</v>
      </c>
      <c r="C14" s="41">
        <f t="shared" ref="C14:M14" si="1">C10-C13</f>
        <v>19.400000000000006</v>
      </c>
      <c r="D14" s="9">
        <f t="shared" si="1"/>
        <v>27.799999999999997</v>
      </c>
      <c r="E14" s="9">
        <f t="shared" si="1"/>
        <v>0.79999999999999716</v>
      </c>
      <c r="F14" s="9">
        <f t="shared" si="1"/>
        <v>148.80000000000001</v>
      </c>
      <c r="G14" s="9">
        <f t="shared" si="1"/>
        <v>104.5</v>
      </c>
      <c r="H14" s="9">
        <f t="shared" si="1"/>
        <v>122.4</v>
      </c>
      <c r="I14" s="9">
        <f t="shared" si="1"/>
        <v>-3.5</v>
      </c>
      <c r="J14" s="9">
        <f t="shared" si="1"/>
        <v>133.4</v>
      </c>
      <c r="K14" s="9">
        <f t="shared" si="1"/>
        <v>-1.7000000000000028</v>
      </c>
      <c r="L14" s="9">
        <f t="shared" si="1"/>
        <v>-10</v>
      </c>
      <c r="M14" s="23">
        <f t="shared" si="1"/>
        <v>1.6000000000000014</v>
      </c>
      <c r="N14" s="5"/>
    </row>
    <row r="15" spans="2:14" x14ac:dyDescent="0.45">
      <c r="B15" s="13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5"/>
    </row>
    <row r="16" spans="2:14" x14ac:dyDescent="0.45">
      <c r="B16" s="102" t="s">
        <v>16</v>
      </c>
      <c r="C16" s="35"/>
      <c r="D16" s="42"/>
      <c r="E16" s="42"/>
      <c r="F16" s="42"/>
      <c r="G16" s="36">
        <v>533</v>
      </c>
      <c r="H16" s="36"/>
      <c r="I16" s="36"/>
      <c r="J16" s="42"/>
      <c r="K16" s="42">
        <v>515</v>
      </c>
      <c r="L16" s="42"/>
      <c r="M16" s="24"/>
      <c r="N16" s="2"/>
    </row>
    <row r="17" spans="2:14" x14ac:dyDescent="0.45">
      <c r="B17" s="102"/>
      <c r="C17" s="43"/>
      <c r="D17" s="2"/>
      <c r="E17" s="2">
        <v>442</v>
      </c>
      <c r="F17" s="2">
        <v>228</v>
      </c>
      <c r="G17" s="3">
        <v>498</v>
      </c>
      <c r="H17" s="3"/>
      <c r="I17" s="2">
        <v>196</v>
      </c>
      <c r="J17" s="2"/>
      <c r="K17" s="2">
        <v>522</v>
      </c>
      <c r="L17" s="2">
        <v>321</v>
      </c>
      <c r="M17" s="25">
        <v>374</v>
      </c>
      <c r="N17" s="2"/>
    </row>
    <row r="18" spans="2:14" x14ac:dyDescent="0.45">
      <c r="B18" s="102"/>
      <c r="C18" s="37">
        <v>314</v>
      </c>
      <c r="D18" s="2"/>
      <c r="E18" s="2">
        <v>689</v>
      </c>
      <c r="F18" s="2">
        <v>78</v>
      </c>
      <c r="G18" s="3">
        <v>530</v>
      </c>
      <c r="H18" s="2">
        <v>421</v>
      </c>
      <c r="I18" s="2">
        <v>113</v>
      </c>
      <c r="J18" s="2">
        <v>345</v>
      </c>
      <c r="K18" s="2">
        <v>513</v>
      </c>
      <c r="L18" s="2">
        <v>232</v>
      </c>
      <c r="M18" s="25">
        <v>184</v>
      </c>
      <c r="N18" s="2"/>
    </row>
    <row r="19" spans="2:14" x14ac:dyDescent="0.45">
      <c r="B19" s="102"/>
      <c r="C19" s="37">
        <v>359</v>
      </c>
      <c r="D19" s="2"/>
      <c r="E19" s="2">
        <v>479</v>
      </c>
      <c r="F19" s="2">
        <v>191</v>
      </c>
      <c r="G19" s="3">
        <v>138</v>
      </c>
      <c r="H19" s="2">
        <v>224</v>
      </c>
      <c r="I19" s="2">
        <v>138</v>
      </c>
      <c r="J19" s="2">
        <v>338</v>
      </c>
      <c r="K19" s="2">
        <v>542</v>
      </c>
      <c r="L19" s="2">
        <v>122</v>
      </c>
      <c r="M19" s="25">
        <v>167</v>
      </c>
      <c r="N19" s="2"/>
    </row>
    <row r="20" spans="2:14" x14ac:dyDescent="0.45">
      <c r="B20" s="102"/>
      <c r="C20" s="37">
        <v>641</v>
      </c>
      <c r="D20" s="2"/>
      <c r="E20" s="2">
        <v>264</v>
      </c>
      <c r="F20" s="2">
        <v>178</v>
      </c>
      <c r="G20" s="3">
        <v>148</v>
      </c>
      <c r="H20" s="2">
        <v>809</v>
      </c>
      <c r="I20" s="2">
        <v>28</v>
      </c>
      <c r="J20" s="2">
        <v>212</v>
      </c>
      <c r="K20" s="2">
        <v>33</v>
      </c>
      <c r="L20" s="2">
        <v>43</v>
      </c>
      <c r="M20" s="25">
        <v>166</v>
      </c>
    </row>
    <row r="21" spans="2:14" x14ac:dyDescent="0.45">
      <c r="B21" s="102"/>
      <c r="C21" s="37">
        <v>409</v>
      </c>
      <c r="D21" s="2">
        <v>395</v>
      </c>
      <c r="E21" s="2">
        <v>74</v>
      </c>
      <c r="F21" s="2">
        <v>201</v>
      </c>
      <c r="G21" s="3">
        <v>157</v>
      </c>
      <c r="H21" s="2">
        <v>129</v>
      </c>
      <c r="I21" s="2">
        <v>46</v>
      </c>
      <c r="J21" s="2">
        <v>153</v>
      </c>
      <c r="K21" s="2">
        <v>31</v>
      </c>
      <c r="L21" s="2">
        <v>19</v>
      </c>
      <c r="M21" s="25">
        <v>35</v>
      </c>
    </row>
    <row r="22" spans="2:14" x14ac:dyDescent="0.45">
      <c r="B22" s="102"/>
      <c r="C22" s="37">
        <v>366</v>
      </c>
      <c r="D22" s="2">
        <v>33</v>
      </c>
      <c r="E22" s="2">
        <v>72</v>
      </c>
      <c r="F22" s="2">
        <v>193</v>
      </c>
      <c r="G22" s="3">
        <v>135</v>
      </c>
      <c r="H22" s="2">
        <v>39</v>
      </c>
      <c r="I22" s="2">
        <v>46</v>
      </c>
      <c r="J22" s="2">
        <v>184</v>
      </c>
      <c r="K22" s="2">
        <v>47</v>
      </c>
      <c r="L22" s="2">
        <v>22</v>
      </c>
      <c r="M22" s="25">
        <v>36</v>
      </c>
    </row>
    <row r="23" spans="2:14" x14ac:dyDescent="0.45">
      <c r="B23" s="102"/>
      <c r="C23" s="37">
        <v>469</v>
      </c>
      <c r="D23" s="2">
        <v>38</v>
      </c>
      <c r="E23" s="2">
        <v>71</v>
      </c>
      <c r="F23" s="2">
        <v>257</v>
      </c>
      <c r="G23" s="3">
        <v>145</v>
      </c>
      <c r="H23" s="2">
        <v>49</v>
      </c>
      <c r="I23" s="2">
        <v>45</v>
      </c>
      <c r="J23" s="2">
        <v>176</v>
      </c>
      <c r="K23" s="2">
        <v>50</v>
      </c>
      <c r="L23" s="2">
        <v>14</v>
      </c>
      <c r="M23" s="25">
        <v>35</v>
      </c>
      <c r="N23" s="2"/>
    </row>
    <row r="24" spans="2:14" x14ac:dyDescent="0.45">
      <c r="B24" s="102"/>
      <c r="C24" s="37">
        <v>173</v>
      </c>
      <c r="D24" s="2">
        <v>99</v>
      </c>
      <c r="E24" s="2">
        <v>62</v>
      </c>
      <c r="F24" s="2">
        <v>183</v>
      </c>
      <c r="G24" s="3">
        <v>147</v>
      </c>
      <c r="H24" s="2">
        <v>239</v>
      </c>
      <c r="I24" s="2">
        <v>32</v>
      </c>
      <c r="J24" s="2">
        <v>179</v>
      </c>
      <c r="K24" s="2">
        <v>41</v>
      </c>
      <c r="L24" s="2">
        <v>30</v>
      </c>
      <c r="M24" s="25">
        <v>36</v>
      </c>
      <c r="N24" s="2"/>
    </row>
    <row r="25" spans="2:14" x14ac:dyDescent="0.45">
      <c r="B25" s="102"/>
      <c r="C25" s="37">
        <v>197</v>
      </c>
      <c r="D25" s="2">
        <v>87</v>
      </c>
      <c r="E25" s="2">
        <v>72</v>
      </c>
      <c r="F25" s="2">
        <v>256</v>
      </c>
      <c r="G25" s="3">
        <v>156</v>
      </c>
      <c r="H25" s="2">
        <v>248</v>
      </c>
      <c r="I25" s="2">
        <v>51</v>
      </c>
      <c r="J25" s="2">
        <v>185</v>
      </c>
      <c r="K25" s="2">
        <v>48</v>
      </c>
      <c r="L25" s="2">
        <v>15</v>
      </c>
      <c r="M25" s="25">
        <v>36</v>
      </c>
      <c r="N25" s="2"/>
    </row>
    <row r="26" spans="2:14" x14ac:dyDescent="0.45">
      <c r="B26" s="102"/>
      <c r="C26" s="37">
        <v>171</v>
      </c>
      <c r="D26" s="2">
        <v>95</v>
      </c>
      <c r="E26" s="2">
        <v>77</v>
      </c>
      <c r="F26" s="2">
        <v>180</v>
      </c>
      <c r="G26" s="2"/>
      <c r="H26" s="2">
        <v>262</v>
      </c>
      <c r="I26" s="2">
        <v>46</v>
      </c>
      <c r="J26" s="2"/>
      <c r="K26" s="2"/>
      <c r="L26" s="2"/>
      <c r="M26" s="25">
        <v>35</v>
      </c>
      <c r="N26" s="2"/>
    </row>
    <row r="27" spans="2:14" x14ac:dyDescent="0.45">
      <c r="B27" s="102"/>
      <c r="C27" s="37">
        <v>198</v>
      </c>
      <c r="D27" s="2">
        <v>81</v>
      </c>
      <c r="L27" s="2"/>
      <c r="M27" s="25"/>
    </row>
    <row r="28" spans="2:14" x14ac:dyDescent="0.45">
      <c r="B28" s="102"/>
      <c r="C28" s="37">
        <v>196</v>
      </c>
      <c r="D28" s="2">
        <v>97</v>
      </c>
      <c r="M28" s="25"/>
    </row>
    <row r="29" spans="2:14" x14ac:dyDescent="0.45">
      <c r="B29" s="102"/>
      <c r="C29" s="38">
        <v>200</v>
      </c>
      <c r="D29" s="6"/>
      <c r="E29" s="8"/>
      <c r="F29" s="8"/>
      <c r="G29" s="8"/>
      <c r="H29" s="8"/>
      <c r="I29" s="8"/>
      <c r="J29" s="8"/>
      <c r="K29" s="8"/>
      <c r="L29" s="8"/>
      <c r="M29" s="26"/>
    </row>
    <row r="30" spans="2:14" x14ac:dyDescent="0.45">
      <c r="B30" s="15"/>
      <c r="C30" s="16"/>
      <c r="D30" s="17"/>
      <c r="E30" s="18"/>
      <c r="F30" s="18"/>
      <c r="G30" s="18"/>
      <c r="H30" s="18"/>
      <c r="I30" s="18"/>
      <c r="J30" s="18"/>
      <c r="K30" s="18"/>
      <c r="L30" s="18"/>
      <c r="M30" s="18"/>
    </row>
    <row r="31" spans="2:14" x14ac:dyDescent="0.45">
      <c r="B31" s="102" t="s">
        <v>15</v>
      </c>
      <c r="C31" s="44"/>
      <c r="D31" s="45"/>
      <c r="E31" s="45"/>
      <c r="F31" s="45"/>
      <c r="G31" s="45"/>
      <c r="H31" s="45"/>
      <c r="I31" s="45"/>
      <c r="J31" s="42"/>
      <c r="K31" s="42"/>
      <c r="L31" s="42"/>
      <c r="M31" s="24"/>
      <c r="N31" s="2"/>
    </row>
    <row r="32" spans="2:14" x14ac:dyDescent="0.45">
      <c r="B32" s="102"/>
      <c r="C32" s="43"/>
      <c r="J32" s="2"/>
      <c r="K32" s="2"/>
      <c r="L32" s="2"/>
      <c r="M32" s="25"/>
      <c r="N32" s="5"/>
    </row>
    <row r="33" spans="2:13" x14ac:dyDescent="0.45">
      <c r="B33" s="102"/>
      <c r="C33" s="43"/>
      <c r="J33" s="2"/>
      <c r="K33" s="2"/>
      <c r="L33" s="2"/>
      <c r="M33" s="25"/>
    </row>
    <row r="34" spans="2:13" x14ac:dyDescent="0.45">
      <c r="B34" s="102"/>
      <c r="C34" s="43"/>
      <c r="J34" s="2"/>
      <c r="K34" s="2"/>
      <c r="L34" s="2"/>
      <c r="M34" s="25"/>
    </row>
    <row r="35" spans="2:13" x14ac:dyDescent="0.45">
      <c r="B35" s="102"/>
      <c r="C35" s="43"/>
      <c r="J35" s="2"/>
      <c r="K35" s="2"/>
      <c r="L35" s="2"/>
      <c r="M35" s="25"/>
    </row>
    <row r="36" spans="2:13" x14ac:dyDescent="0.45">
      <c r="B36" s="102"/>
      <c r="C36" s="43"/>
      <c r="G36">
        <f>G21</f>
        <v>157</v>
      </c>
      <c r="J36" s="2">
        <f t="shared" ref="J36:K40" si="2">J21</f>
        <v>153</v>
      </c>
      <c r="K36" s="2">
        <f t="shared" si="2"/>
        <v>31</v>
      </c>
      <c r="L36" s="2">
        <f>L21</f>
        <v>19</v>
      </c>
      <c r="M36" s="25"/>
    </row>
    <row r="37" spans="2:13" x14ac:dyDescent="0.45">
      <c r="B37" s="102"/>
      <c r="C37" s="43"/>
      <c r="E37">
        <f t="shared" ref="E37:F41" si="3">E22</f>
        <v>72</v>
      </c>
      <c r="F37">
        <f t="shared" si="3"/>
        <v>193</v>
      </c>
      <c r="G37">
        <f>G22</f>
        <v>135</v>
      </c>
      <c r="H37">
        <f t="shared" ref="H37:I41" si="4">H22</f>
        <v>39</v>
      </c>
      <c r="I37">
        <f t="shared" si="4"/>
        <v>46</v>
      </c>
      <c r="J37" s="2">
        <f t="shared" si="2"/>
        <v>184</v>
      </c>
      <c r="K37" s="2">
        <f t="shared" si="2"/>
        <v>47</v>
      </c>
      <c r="L37" s="2">
        <f>L22</f>
        <v>22</v>
      </c>
      <c r="M37" s="25">
        <f>M22</f>
        <v>36</v>
      </c>
    </row>
    <row r="38" spans="2:13" x14ac:dyDescent="0.45">
      <c r="B38" s="102"/>
      <c r="C38" s="43"/>
      <c r="E38">
        <f t="shared" si="3"/>
        <v>71</v>
      </c>
      <c r="F38">
        <f t="shared" si="3"/>
        <v>257</v>
      </c>
      <c r="G38">
        <f>G23</f>
        <v>145</v>
      </c>
      <c r="H38">
        <f t="shared" si="4"/>
        <v>49</v>
      </c>
      <c r="I38">
        <f t="shared" si="4"/>
        <v>45</v>
      </c>
      <c r="J38" s="2">
        <f t="shared" si="2"/>
        <v>176</v>
      </c>
      <c r="K38" s="2">
        <f t="shared" si="2"/>
        <v>50</v>
      </c>
      <c r="L38" s="2">
        <f>L23</f>
        <v>14</v>
      </c>
      <c r="M38" s="25">
        <f>M23</f>
        <v>35</v>
      </c>
    </row>
    <row r="39" spans="2:13" x14ac:dyDescent="0.45">
      <c r="B39" s="102"/>
      <c r="C39" s="43"/>
      <c r="D39">
        <f>D24</f>
        <v>99</v>
      </c>
      <c r="E39">
        <f t="shared" si="3"/>
        <v>62</v>
      </c>
      <c r="F39">
        <f t="shared" si="3"/>
        <v>183</v>
      </c>
      <c r="G39">
        <f>G24</f>
        <v>147</v>
      </c>
      <c r="H39">
        <f t="shared" si="4"/>
        <v>239</v>
      </c>
      <c r="I39">
        <f t="shared" si="4"/>
        <v>32</v>
      </c>
      <c r="J39" s="2">
        <f t="shared" si="2"/>
        <v>179</v>
      </c>
      <c r="K39" s="2">
        <f t="shared" si="2"/>
        <v>41</v>
      </c>
      <c r="L39" s="2">
        <f>L24</f>
        <v>30</v>
      </c>
      <c r="M39" s="25">
        <f>M24</f>
        <v>36</v>
      </c>
    </row>
    <row r="40" spans="2:13" x14ac:dyDescent="0.45">
      <c r="B40" s="102"/>
      <c r="C40" s="43">
        <f>C25</f>
        <v>197</v>
      </c>
      <c r="D40">
        <f>D25</f>
        <v>87</v>
      </c>
      <c r="E40">
        <f t="shared" si="3"/>
        <v>72</v>
      </c>
      <c r="F40">
        <f t="shared" si="3"/>
        <v>256</v>
      </c>
      <c r="G40">
        <f>G25</f>
        <v>156</v>
      </c>
      <c r="H40">
        <f t="shared" si="4"/>
        <v>248</v>
      </c>
      <c r="I40">
        <f t="shared" si="4"/>
        <v>51</v>
      </c>
      <c r="J40" s="2">
        <f t="shared" si="2"/>
        <v>185</v>
      </c>
      <c r="K40" s="2">
        <f t="shared" si="2"/>
        <v>48</v>
      </c>
      <c r="L40" s="2">
        <f>L25</f>
        <v>15</v>
      </c>
      <c r="M40" s="25">
        <f>M25</f>
        <v>36</v>
      </c>
    </row>
    <row r="41" spans="2:13" x14ac:dyDescent="0.45">
      <c r="B41" s="102"/>
      <c r="C41" s="43">
        <f>C26</f>
        <v>171</v>
      </c>
      <c r="D41">
        <f>D26</f>
        <v>95</v>
      </c>
      <c r="E41">
        <f t="shared" si="3"/>
        <v>77</v>
      </c>
      <c r="F41">
        <f t="shared" si="3"/>
        <v>180</v>
      </c>
      <c r="H41">
        <f t="shared" si="4"/>
        <v>262</v>
      </c>
      <c r="I41">
        <f t="shared" si="4"/>
        <v>46</v>
      </c>
      <c r="K41" s="2"/>
      <c r="L41" s="2"/>
      <c r="M41" s="25">
        <f>M26</f>
        <v>35</v>
      </c>
    </row>
    <row r="42" spans="2:13" x14ac:dyDescent="0.45">
      <c r="B42" s="102"/>
      <c r="C42" s="43">
        <f>C27</f>
        <v>198</v>
      </c>
      <c r="D42">
        <f>D27</f>
        <v>81</v>
      </c>
      <c r="K42" s="2"/>
      <c r="L42" s="2"/>
      <c r="M42" s="25"/>
    </row>
    <row r="43" spans="2:13" x14ac:dyDescent="0.45">
      <c r="B43" s="102"/>
      <c r="C43" s="43">
        <f>C28</f>
        <v>196</v>
      </c>
      <c r="D43">
        <f>D28</f>
        <v>97</v>
      </c>
      <c r="K43" s="2"/>
      <c r="L43" s="2"/>
      <c r="M43" s="25"/>
    </row>
    <row r="44" spans="2:13" x14ac:dyDescent="0.45">
      <c r="B44" s="102"/>
      <c r="C44" s="46">
        <f>C29</f>
        <v>200</v>
      </c>
      <c r="D44" s="8"/>
      <c r="E44" s="8"/>
      <c r="F44" s="8"/>
      <c r="G44" s="8"/>
      <c r="H44" s="8"/>
      <c r="I44" s="8"/>
      <c r="J44" s="8"/>
      <c r="K44" s="6"/>
      <c r="L44" s="6"/>
      <c r="M44" s="26"/>
    </row>
    <row r="45" spans="2:13" x14ac:dyDescent="0.45">
      <c r="M45" s="2"/>
    </row>
    <row r="46" spans="2:13" x14ac:dyDescent="0.45">
      <c r="M46" s="2"/>
    </row>
  </sheetData>
  <mergeCells count="2">
    <mergeCell ref="B16:B29"/>
    <mergeCell ref="B31:B4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12883B-4FFF-42A6-90FE-2BC983DB2E0F}">
  <dimension ref="B2:AW85"/>
  <sheetViews>
    <sheetView tabSelected="1" zoomScale="70" zoomScaleNormal="70" workbookViewId="0">
      <pane xSplit="2" topLeftCell="C1" activePane="topRight" state="frozen"/>
      <selection pane="topRight"/>
    </sheetView>
  </sheetViews>
  <sheetFormatPr defaultRowHeight="14.25" x14ac:dyDescent="0.45"/>
  <cols>
    <col min="1" max="1" width="2.3984375" customWidth="1"/>
    <col min="2" max="2" width="26.86328125" customWidth="1"/>
    <col min="3" max="3" width="9.6640625" bestFit="1" customWidth="1"/>
    <col min="4" max="4" width="9.33203125" customWidth="1"/>
    <col min="5" max="5" width="9.6640625" bestFit="1" customWidth="1"/>
    <col min="6" max="6" width="9.33203125" bestFit="1" customWidth="1"/>
    <col min="7" max="14" width="9.33203125" customWidth="1"/>
    <col min="15" max="15" width="10.3984375" bestFit="1" customWidth="1"/>
    <col min="16" max="16" width="9.33203125" customWidth="1"/>
    <col min="17" max="17" width="10.3984375" bestFit="1" customWidth="1"/>
    <col min="18" max="18" width="9.33203125" customWidth="1"/>
    <col min="19" max="25" width="10.3984375" customWidth="1"/>
    <col min="26" max="26" width="2.59765625" bestFit="1" customWidth="1"/>
    <col min="27" max="29" width="10.3984375" customWidth="1"/>
    <col min="32" max="32" width="2.33203125" bestFit="1" customWidth="1"/>
    <col min="38" max="38" width="2.46484375" bestFit="1" customWidth="1"/>
    <col min="44" max="44" width="2.46484375" bestFit="1" customWidth="1"/>
    <col min="50" max="50" width="2.46484375" bestFit="1" customWidth="1"/>
    <col min="56" max="56" width="2.46484375" bestFit="1" customWidth="1"/>
    <col min="62" max="62" width="2.59765625" bestFit="1" customWidth="1"/>
    <col min="68" max="68" width="2.59765625" bestFit="1" customWidth="1"/>
  </cols>
  <sheetData>
    <row r="2" spans="2:49" x14ac:dyDescent="0.45">
      <c r="B2" s="77" t="s">
        <v>6</v>
      </c>
      <c r="C2" s="28">
        <v>46199</v>
      </c>
      <c r="D2" s="29">
        <v>46200</v>
      </c>
      <c r="E2" s="29">
        <v>46201</v>
      </c>
      <c r="F2" s="29">
        <v>46202</v>
      </c>
      <c r="G2" s="29">
        <v>46203</v>
      </c>
      <c r="H2" s="29">
        <v>46204</v>
      </c>
      <c r="I2" s="29">
        <v>46205</v>
      </c>
      <c r="J2" s="29">
        <v>46210</v>
      </c>
      <c r="K2" s="29">
        <v>46211</v>
      </c>
      <c r="L2" s="29">
        <v>46212</v>
      </c>
      <c r="M2" s="29">
        <v>46213</v>
      </c>
      <c r="N2" s="28">
        <v>46215</v>
      </c>
      <c r="O2" s="29">
        <v>46232</v>
      </c>
      <c r="P2" s="28">
        <v>46223</v>
      </c>
      <c r="Q2" s="29">
        <v>46223</v>
      </c>
      <c r="R2" s="28">
        <v>46232</v>
      </c>
      <c r="S2" s="29">
        <v>46231</v>
      </c>
      <c r="T2" s="29">
        <v>46239</v>
      </c>
      <c r="U2" s="29">
        <v>46238</v>
      </c>
      <c r="V2" s="29">
        <v>46240</v>
      </c>
      <c r="W2" s="29">
        <v>46240</v>
      </c>
      <c r="X2" s="29">
        <v>46241</v>
      </c>
      <c r="Y2" s="30">
        <v>46241</v>
      </c>
      <c r="Z2" s="52"/>
      <c r="AA2" s="69"/>
      <c r="AB2" s="69"/>
      <c r="AC2" s="69"/>
      <c r="AD2" s="70"/>
      <c r="AE2" s="70"/>
      <c r="AF2" s="70"/>
      <c r="AG2" s="70"/>
      <c r="AH2" s="70"/>
      <c r="AI2" s="70"/>
      <c r="AJ2" s="70"/>
      <c r="AK2" s="70"/>
      <c r="AM2" s="70"/>
      <c r="AN2" s="70"/>
      <c r="AO2" s="70"/>
      <c r="AP2" s="70"/>
      <c r="AQ2" s="70"/>
      <c r="AR2" s="70"/>
      <c r="AS2" s="70"/>
      <c r="AT2" s="70"/>
      <c r="AU2" s="70"/>
      <c r="AV2" s="70"/>
      <c r="AW2" s="70"/>
    </row>
    <row r="3" spans="2:49" x14ac:dyDescent="0.45">
      <c r="B3" s="77" t="s">
        <v>3</v>
      </c>
      <c r="C3" s="31">
        <v>4</v>
      </c>
      <c r="D3" s="2">
        <v>4</v>
      </c>
      <c r="E3" s="2">
        <v>5</v>
      </c>
      <c r="F3" s="2">
        <v>5</v>
      </c>
      <c r="G3" s="2">
        <v>6</v>
      </c>
      <c r="H3" s="2">
        <v>6</v>
      </c>
      <c r="I3" s="2">
        <v>7</v>
      </c>
      <c r="J3" s="2">
        <v>7</v>
      </c>
      <c r="K3" s="2">
        <v>8</v>
      </c>
      <c r="L3" s="2">
        <v>9</v>
      </c>
      <c r="M3" s="2">
        <v>10</v>
      </c>
      <c r="N3" s="31">
        <v>11</v>
      </c>
      <c r="O3" s="2">
        <v>11</v>
      </c>
      <c r="P3" s="31">
        <v>12</v>
      </c>
      <c r="Q3" s="2">
        <v>12</v>
      </c>
      <c r="R3" s="31">
        <v>13</v>
      </c>
      <c r="S3" s="2">
        <v>13</v>
      </c>
      <c r="T3" s="2">
        <v>14</v>
      </c>
      <c r="U3" s="2">
        <v>14</v>
      </c>
      <c r="V3" s="2">
        <v>15</v>
      </c>
      <c r="W3" s="2">
        <v>15</v>
      </c>
      <c r="X3" s="2">
        <v>16</v>
      </c>
      <c r="Y3" s="25">
        <v>16</v>
      </c>
      <c r="Z3" s="52"/>
      <c r="AA3" s="69"/>
      <c r="AB3" s="69"/>
      <c r="AC3" s="69"/>
      <c r="AD3" s="70"/>
      <c r="AE3" s="70"/>
      <c r="AF3" s="70"/>
      <c r="AG3" s="70"/>
      <c r="AH3" s="70"/>
      <c r="AI3" s="70"/>
      <c r="AJ3" s="70"/>
      <c r="AK3" s="70"/>
      <c r="AM3" s="70"/>
      <c r="AN3" s="70"/>
      <c r="AO3" s="70"/>
      <c r="AP3" s="70"/>
      <c r="AQ3" s="70"/>
      <c r="AR3" s="70"/>
      <c r="AS3" s="70"/>
      <c r="AT3" s="70"/>
      <c r="AU3" s="70"/>
      <c r="AV3" s="70"/>
      <c r="AW3" s="70"/>
    </row>
    <row r="4" spans="2:49" s="12" customFormat="1" x14ac:dyDescent="0.45">
      <c r="B4" s="77" t="s">
        <v>29</v>
      </c>
      <c r="C4" s="80" t="s">
        <v>30</v>
      </c>
      <c r="D4" s="79" t="s">
        <v>30</v>
      </c>
      <c r="E4" s="79" t="s">
        <v>30</v>
      </c>
      <c r="F4" s="79" t="s">
        <v>30</v>
      </c>
      <c r="G4" s="79" t="s">
        <v>30</v>
      </c>
      <c r="H4" s="79" t="s">
        <v>30</v>
      </c>
      <c r="I4" s="79" t="s">
        <v>30</v>
      </c>
      <c r="J4" s="79" t="s">
        <v>30</v>
      </c>
      <c r="K4" s="79" t="s">
        <v>30</v>
      </c>
      <c r="L4" s="79" t="s">
        <v>30</v>
      </c>
      <c r="M4" s="79" t="s">
        <v>30</v>
      </c>
      <c r="N4" s="81" t="s">
        <v>28</v>
      </c>
      <c r="O4" s="53" t="s">
        <v>28</v>
      </c>
      <c r="P4" s="81" t="s">
        <v>26</v>
      </c>
      <c r="Q4" s="53" t="s">
        <v>26</v>
      </c>
      <c r="R4" s="81" t="s">
        <v>27</v>
      </c>
      <c r="S4" s="53" t="s">
        <v>27</v>
      </c>
      <c r="T4" s="53" t="s">
        <v>27</v>
      </c>
      <c r="U4" s="53" t="s">
        <v>27</v>
      </c>
      <c r="V4" s="53" t="s">
        <v>27</v>
      </c>
      <c r="W4" s="53" t="s">
        <v>27</v>
      </c>
      <c r="X4" s="53" t="s">
        <v>27</v>
      </c>
      <c r="Y4" s="82" t="s">
        <v>27</v>
      </c>
      <c r="Z4" s="53"/>
      <c r="AA4" s="72"/>
      <c r="AB4" s="72"/>
      <c r="AC4" s="72"/>
      <c r="AD4" s="73"/>
      <c r="AE4" s="73"/>
      <c r="AF4" s="73"/>
      <c r="AG4" s="73"/>
      <c r="AH4" s="73"/>
      <c r="AI4" s="73"/>
      <c r="AJ4" s="73"/>
      <c r="AK4" s="73"/>
      <c r="AM4" s="73"/>
      <c r="AN4" s="73"/>
      <c r="AO4" s="73"/>
      <c r="AP4" s="73"/>
      <c r="AQ4" s="73"/>
      <c r="AR4" s="73"/>
      <c r="AS4" s="73"/>
      <c r="AT4" s="73"/>
      <c r="AU4" s="73"/>
      <c r="AV4" s="73"/>
      <c r="AW4" s="73"/>
    </row>
    <row r="5" spans="2:49" x14ac:dyDescent="0.45">
      <c r="B5" s="77" t="s">
        <v>37</v>
      </c>
      <c r="C5" s="48" t="s">
        <v>38</v>
      </c>
      <c r="D5" s="6" t="s">
        <v>32</v>
      </c>
      <c r="E5" s="6" t="s">
        <v>39</v>
      </c>
      <c r="F5" s="6" t="s">
        <v>32</v>
      </c>
      <c r="G5" s="6" t="s">
        <v>39</v>
      </c>
      <c r="H5" s="6" t="s">
        <v>32</v>
      </c>
      <c r="I5" s="6" t="s">
        <v>33</v>
      </c>
      <c r="J5" s="6" t="s">
        <v>32</v>
      </c>
      <c r="K5" s="6" t="s">
        <v>33</v>
      </c>
      <c r="L5" s="6" t="s">
        <v>33</v>
      </c>
      <c r="M5" s="6" t="s">
        <v>33</v>
      </c>
      <c r="N5" s="48" t="s">
        <v>33</v>
      </c>
      <c r="O5" s="6" t="s">
        <v>32</v>
      </c>
      <c r="P5" s="48" t="s">
        <v>33</v>
      </c>
      <c r="Q5" s="6" t="s">
        <v>32</v>
      </c>
      <c r="R5" s="48" t="s">
        <v>33</v>
      </c>
      <c r="S5" s="6" t="s">
        <v>32</v>
      </c>
      <c r="T5" s="6" t="s">
        <v>33</v>
      </c>
      <c r="U5" s="6" t="s">
        <v>32</v>
      </c>
      <c r="V5" s="6" t="s">
        <v>33</v>
      </c>
      <c r="W5" s="6" t="s">
        <v>32</v>
      </c>
      <c r="X5" s="6" t="s">
        <v>33</v>
      </c>
      <c r="Y5" s="26" t="s">
        <v>32</v>
      </c>
      <c r="Z5" s="2"/>
      <c r="AA5" s="71"/>
      <c r="AB5" s="71"/>
      <c r="AC5" s="71"/>
      <c r="AD5" s="70"/>
      <c r="AE5" s="70"/>
      <c r="AF5" s="70"/>
      <c r="AG5" s="70"/>
      <c r="AH5" s="70"/>
      <c r="AI5" s="70"/>
      <c r="AJ5" s="70"/>
      <c r="AK5" s="70"/>
      <c r="AM5" s="70"/>
      <c r="AN5" s="70"/>
      <c r="AO5" s="70"/>
      <c r="AP5" s="70"/>
      <c r="AQ5" s="70"/>
      <c r="AR5" s="70"/>
      <c r="AS5" s="70"/>
      <c r="AT5" s="70"/>
      <c r="AU5" s="70"/>
      <c r="AV5" s="70"/>
      <c r="AW5" s="70"/>
    </row>
    <row r="6" spans="2:49" x14ac:dyDescent="0.45">
      <c r="B6" s="77" t="s">
        <v>0</v>
      </c>
      <c r="C6" s="3">
        <v>8</v>
      </c>
      <c r="D6" s="3">
        <v>7</v>
      </c>
      <c r="E6" s="3">
        <v>4</v>
      </c>
      <c r="F6" s="3">
        <v>6</v>
      </c>
      <c r="G6" s="3">
        <v>3</v>
      </c>
      <c r="H6" s="3">
        <v>6</v>
      </c>
      <c r="I6" s="3">
        <v>4</v>
      </c>
      <c r="J6" s="3">
        <v>4</v>
      </c>
      <c r="K6" s="3">
        <v>4</v>
      </c>
      <c r="L6" s="3">
        <v>3</v>
      </c>
      <c r="M6" s="3">
        <v>2</v>
      </c>
      <c r="N6" s="37">
        <v>2</v>
      </c>
      <c r="O6" s="2">
        <v>4</v>
      </c>
      <c r="P6" s="37">
        <v>3</v>
      </c>
      <c r="Q6" s="3">
        <v>7</v>
      </c>
      <c r="R6" s="37">
        <v>2</v>
      </c>
      <c r="S6" s="3">
        <v>4</v>
      </c>
      <c r="T6" s="3">
        <v>4</v>
      </c>
      <c r="U6" s="3">
        <v>4</v>
      </c>
      <c r="V6" s="3">
        <v>4</v>
      </c>
      <c r="W6" s="3">
        <v>3</v>
      </c>
      <c r="X6" s="3">
        <v>1</v>
      </c>
      <c r="Y6" s="19">
        <v>5</v>
      </c>
      <c r="Z6" s="3"/>
      <c r="AA6" s="74"/>
      <c r="AB6" s="74"/>
      <c r="AC6" s="74"/>
      <c r="AD6" s="70"/>
      <c r="AE6" s="70"/>
      <c r="AF6" s="70"/>
      <c r="AG6" s="70"/>
      <c r="AH6" s="70"/>
      <c r="AI6" s="70"/>
      <c r="AJ6" s="70"/>
      <c r="AK6" s="70"/>
      <c r="AM6" s="70"/>
      <c r="AN6" s="70"/>
      <c r="AO6" s="70"/>
      <c r="AP6" s="70"/>
      <c r="AQ6" s="70"/>
      <c r="AR6" s="70"/>
      <c r="AS6" s="70"/>
      <c r="AT6" s="70"/>
      <c r="AU6" s="70"/>
      <c r="AV6" s="70"/>
      <c r="AW6" s="70"/>
    </row>
    <row r="7" spans="2:49" x14ac:dyDescent="0.45">
      <c r="B7" s="77" t="s">
        <v>44</v>
      </c>
      <c r="C7" s="3">
        <v>3</v>
      </c>
      <c r="D7" s="3">
        <v>0</v>
      </c>
      <c r="E7" s="3">
        <v>1</v>
      </c>
      <c r="F7" s="3">
        <v>0</v>
      </c>
      <c r="G7" s="3">
        <v>3</v>
      </c>
      <c r="H7" s="3">
        <v>1</v>
      </c>
      <c r="I7" s="3">
        <v>4</v>
      </c>
      <c r="J7" s="3">
        <v>0</v>
      </c>
      <c r="K7" s="3">
        <v>1</v>
      </c>
      <c r="L7" s="3">
        <v>2</v>
      </c>
      <c r="M7" s="3">
        <v>1</v>
      </c>
      <c r="N7" s="37">
        <v>2</v>
      </c>
      <c r="O7" s="2">
        <v>0</v>
      </c>
      <c r="P7" s="37">
        <v>1</v>
      </c>
      <c r="Q7" s="3">
        <v>0</v>
      </c>
      <c r="R7" s="37">
        <v>2</v>
      </c>
      <c r="S7" s="3">
        <v>0</v>
      </c>
      <c r="T7" s="3">
        <v>6</v>
      </c>
      <c r="U7" s="3">
        <v>1</v>
      </c>
      <c r="V7" s="3">
        <v>5</v>
      </c>
      <c r="W7" s="3">
        <v>1</v>
      </c>
      <c r="X7" s="3">
        <v>3</v>
      </c>
      <c r="Y7" s="19">
        <v>1</v>
      </c>
      <c r="Z7" s="3"/>
      <c r="AA7" s="74"/>
      <c r="AB7" s="74"/>
      <c r="AC7" s="74"/>
      <c r="AD7" s="70"/>
      <c r="AE7" s="70"/>
      <c r="AF7" s="70"/>
      <c r="AG7" s="70"/>
      <c r="AH7" s="70"/>
      <c r="AI7" s="70"/>
      <c r="AJ7" s="70"/>
      <c r="AK7" s="70"/>
      <c r="AM7" s="70"/>
      <c r="AN7" s="70"/>
      <c r="AO7" s="70"/>
      <c r="AP7" s="70"/>
      <c r="AQ7" s="70"/>
      <c r="AR7" s="70"/>
      <c r="AS7" s="70"/>
      <c r="AT7" s="70"/>
      <c r="AU7" s="70"/>
      <c r="AV7" s="70"/>
      <c r="AW7" s="70"/>
    </row>
    <row r="8" spans="2:49" x14ac:dyDescent="0.45">
      <c r="B8" s="77" t="s">
        <v>62</v>
      </c>
      <c r="C8" s="3">
        <v>1</v>
      </c>
      <c r="D8" s="3">
        <v>4</v>
      </c>
      <c r="E8" s="3">
        <v>0</v>
      </c>
      <c r="F8" s="3">
        <v>0</v>
      </c>
      <c r="G8" s="3">
        <v>0</v>
      </c>
      <c r="H8" s="3">
        <v>0</v>
      </c>
      <c r="I8" s="3">
        <v>1</v>
      </c>
      <c r="J8" s="3">
        <v>1</v>
      </c>
      <c r="K8" s="3">
        <v>0</v>
      </c>
      <c r="L8" s="3">
        <v>0</v>
      </c>
      <c r="M8" s="3">
        <v>0</v>
      </c>
      <c r="N8" s="37">
        <v>0</v>
      </c>
      <c r="O8" s="2">
        <v>3</v>
      </c>
      <c r="P8" s="37">
        <v>1</v>
      </c>
      <c r="Q8" s="3">
        <v>0</v>
      </c>
      <c r="R8" s="37">
        <v>0</v>
      </c>
      <c r="S8" s="3">
        <v>1</v>
      </c>
      <c r="T8" s="3">
        <v>0</v>
      </c>
      <c r="U8" s="3">
        <v>0</v>
      </c>
      <c r="V8" s="3">
        <v>0</v>
      </c>
      <c r="W8" s="3">
        <v>0</v>
      </c>
      <c r="X8" s="3">
        <v>1</v>
      </c>
      <c r="Y8" s="19">
        <v>0</v>
      </c>
      <c r="Z8" s="3"/>
      <c r="AA8" s="74"/>
      <c r="AB8" s="74"/>
      <c r="AC8" s="74"/>
      <c r="AD8" s="70"/>
      <c r="AE8" s="70"/>
      <c r="AF8" s="70"/>
      <c r="AG8" s="70"/>
      <c r="AH8" s="70"/>
      <c r="AI8" s="70"/>
      <c r="AJ8" s="70"/>
      <c r="AK8" s="70"/>
      <c r="AM8" s="70"/>
      <c r="AN8" s="70"/>
      <c r="AO8" s="70"/>
      <c r="AP8" s="70"/>
      <c r="AQ8" s="70"/>
      <c r="AR8" s="70"/>
      <c r="AS8" s="70"/>
      <c r="AT8" s="70"/>
      <c r="AU8" s="70"/>
      <c r="AV8" s="70"/>
      <c r="AW8" s="70"/>
    </row>
    <row r="9" spans="2:49" x14ac:dyDescent="0.45">
      <c r="B9" s="77" t="s">
        <v>1</v>
      </c>
      <c r="C9" s="3">
        <v>1</v>
      </c>
      <c r="D9" s="3">
        <v>1</v>
      </c>
      <c r="E9" s="3">
        <v>2</v>
      </c>
      <c r="F9" s="3">
        <v>0</v>
      </c>
      <c r="G9" s="3">
        <v>2</v>
      </c>
      <c r="H9" s="3">
        <v>0</v>
      </c>
      <c r="I9" s="3">
        <v>2</v>
      </c>
      <c r="J9" s="3">
        <v>1</v>
      </c>
      <c r="K9" s="3">
        <v>1</v>
      </c>
      <c r="L9" s="3">
        <v>2</v>
      </c>
      <c r="M9" s="3">
        <v>4</v>
      </c>
      <c r="N9" s="37">
        <v>2</v>
      </c>
      <c r="O9" s="2">
        <v>3</v>
      </c>
      <c r="P9" s="37">
        <v>2</v>
      </c>
      <c r="Q9" s="3">
        <v>1</v>
      </c>
      <c r="R9" s="37">
        <v>3</v>
      </c>
      <c r="S9" s="3">
        <v>0</v>
      </c>
      <c r="T9" s="3">
        <v>3</v>
      </c>
      <c r="U9" s="3">
        <v>0</v>
      </c>
      <c r="V9" s="3">
        <v>4</v>
      </c>
      <c r="W9" s="3">
        <v>0</v>
      </c>
      <c r="X9" s="3">
        <v>3</v>
      </c>
      <c r="Y9" s="19">
        <v>0</v>
      </c>
      <c r="Z9" s="3"/>
      <c r="AA9" s="74"/>
      <c r="AB9" s="74"/>
      <c r="AC9" s="74"/>
      <c r="AD9" s="70"/>
      <c r="AE9" s="70"/>
      <c r="AF9" s="70"/>
      <c r="AG9" s="70"/>
      <c r="AH9" s="70"/>
      <c r="AI9" s="70"/>
      <c r="AJ9" s="70"/>
      <c r="AK9" s="70"/>
      <c r="AM9" s="70"/>
      <c r="AN9" s="70"/>
      <c r="AO9" s="70"/>
      <c r="AP9" s="70"/>
      <c r="AQ9" s="70"/>
      <c r="AR9" s="70"/>
      <c r="AS9" s="70"/>
      <c r="AT9" s="70"/>
      <c r="AU9" s="70"/>
      <c r="AV9" s="70"/>
      <c r="AW9" s="70"/>
    </row>
    <row r="10" spans="2:49" x14ac:dyDescent="0.45">
      <c r="B10" s="77" t="s">
        <v>43</v>
      </c>
      <c r="C10" s="7">
        <f t="shared" ref="C10:N10" si="0">C9+C6</f>
        <v>9</v>
      </c>
      <c r="D10" s="7">
        <f t="shared" si="0"/>
        <v>8</v>
      </c>
      <c r="E10" s="7">
        <f t="shared" si="0"/>
        <v>6</v>
      </c>
      <c r="F10" s="7">
        <f t="shared" si="0"/>
        <v>6</v>
      </c>
      <c r="G10" s="7">
        <f t="shared" si="0"/>
        <v>5</v>
      </c>
      <c r="H10" s="7">
        <f t="shared" si="0"/>
        <v>6</v>
      </c>
      <c r="I10" s="7">
        <f t="shared" si="0"/>
        <v>6</v>
      </c>
      <c r="J10" s="7">
        <f t="shared" si="0"/>
        <v>5</v>
      </c>
      <c r="K10" s="7">
        <f t="shared" si="0"/>
        <v>5</v>
      </c>
      <c r="L10" s="7">
        <f t="shared" si="0"/>
        <v>5</v>
      </c>
      <c r="M10" s="7">
        <f t="shared" si="0"/>
        <v>6</v>
      </c>
      <c r="N10" s="37">
        <f t="shared" si="0"/>
        <v>4</v>
      </c>
      <c r="O10" s="3">
        <f t="shared" ref="O10:U10" si="1">O9+O6</f>
        <v>7</v>
      </c>
      <c r="P10" s="37">
        <f t="shared" si="1"/>
        <v>5</v>
      </c>
      <c r="Q10" s="3">
        <f t="shared" si="1"/>
        <v>8</v>
      </c>
      <c r="R10" s="38">
        <f t="shared" si="1"/>
        <v>5</v>
      </c>
      <c r="S10" s="7">
        <f t="shared" si="1"/>
        <v>4</v>
      </c>
      <c r="T10" s="7">
        <f t="shared" si="1"/>
        <v>7</v>
      </c>
      <c r="U10" s="7">
        <f t="shared" si="1"/>
        <v>4</v>
      </c>
      <c r="V10" s="7">
        <f>V9+V6</f>
        <v>8</v>
      </c>
      <c r="W10" s="7">
        <f>W9+W6</f>
        <v>3</v>
      </c>
      <c r="X10" s="7">
        <f>X9+X6</f>
        <v>4</v>
      </c>
      <c r="Y10" s="20">
        <f>Y9+Y6</f>
        <v>5</v>
      </c>
      <c r="Z10" s="3"/>
      <c r="AA10" s="74"/>
      <c r="AB10" s="74"/>
      <c r="AC10" s="74"/>
      <c r="AD10" s="70"/>
      <c r="AE10" s="70"/>
      <c r="AF10" s="70"/>
      <c r="AG10" s="70"/>
      <c r="AH10" s="70"/>
      <c r="AI10" s="70"/>
      <c r="AJ10" s="70"/>
      <c r="AK10" s="70"/>
      <c r="AM10" s="70"/>
      <c r="AN10" s="70"/>
      <c r="AO10" s="70"/>
      <c r="AP10" s="70"/>
      <c r="AQ10" s="70"/>
      <c r="AR10" s="70"/>
      <c r="AS10" s="70"/>
      <c r="AT10" s="70"/>
      <c r="AU10" s="70"/>
      <c r="AV10" s="70"/>
      <c r="AW10" s="70"/>
    </row>
    <row r="11" spans="2:49" x14ac:dyDescent="0.45">
      <c r="B11" s="77" t="s">
        <v>40</v>
      </c>
      <c r="C11" s="4">
        <v>192.4</v>
      </c>
      <c r="D11" s="4">
        <v>91.8</v>
      </c>
      <c r="E11" s="4">
        <v>70.8</v>
      </c>
      <c r="F11" s="4">
        <v>213.8</v>
      </c>
      <c r="G11" s="4">
        <v>148</v>
      </c>
      <c r="H11" s="4">
        <v>167.4</v>
      </c>
      <c r="I11" s="4">
        <v>44</v>
      </c>
      <c r="J11" s="4">
        <v>175.4</v>
      </c>
      <c r="K11" s="4">
        <v>43.4</v>
      </c>
      <c r="L11" s="4">
        <v>20</v>
      </c>
      <c r="M11" s="4">
        <v>35.6</v>
      </c>
      <c r="N11" s="49">
        <v>160.4</v>
      </c>
      <c r="O11" s="50">
        <v>113.6</v>
      </c>
      <c r="P11" s="49">
        <v>65</v>
      </c>
      <c r="Q11" s="50">
        <v>124.2</v>
      </c>
      <c r="R11" s="49">
        <v>22.4</v>
      </c>
      <c r="S11" s="50">
        <v>5.2</v>
      </c>
      <c r="T11" s="50">
        <v>26.6</v>
      </c>
      <c r="U11" s="50">
        <v>28.8</v>
      </c>
      <c r="V11" s="50">
        <v>29.8</v>
      </c>
      <c r="W11" s="50">
        <v>74.599999999999994</v>
      </c>
      <c r="X11" s="50">
        <v>26.6</v>
      </c>
      <c r="Y11" s="51">
        <v>227.6</v>
      </c>
      <c r="Z11" s="4"/>
      <c r="AA11" s="75"/>
      <c r="AB11" s="75"/>
      <c r="AC11" s="75"/>
      <c r="AD11" s="70"/>
      <c r="AE11" s="70"/>
      <c r="AF11" s="70"/>
      <c r="AG11" s="70"/>
      <c r="AH11" s="70"/>
      <c r="AI11" s="70"/>
      <c r="AJ11" s="70"/>
      <c r="AK11" s="70"/>
      <c r="AM11" s="70"/>
      <c r="AN11" s="70"/>
      <c r="AO11" s="70"/>
      <c r="AP11" s="70"/>
      <c r="AQ11" s="70"/>
      <c r="AR11" s="70"/>
      <c r="AS11" s="70"/>
      <c r="AT11" s="70"/>
      <c r="AU11" s="70"/>
      <c r="AV11" s="70"/>
      <c r="AW11" s="70"/>
    </row>
    <row r="12" spans="2:49" x14ac:dyDescent="0.45">
      <c r="B12" s="77" t="s">
        <v>45</v>
      </c>
      <c r="C12" s="5">
        <v>29</v>
      </c>
      <c r="D12" s="5">
        <v>18</v>
      </c>
      <c r="E12" s="5">
        <v>15</v>
      </c>
      <c r="F12" s="5">
        <v>77</v>
      </c>
      <c r="G12" s="5">
        <v>22</v>
      </c>
      <c r="H12" s="5">
        <v>223</v>
      </c>
      <c r="I12" s="5">
        <v>19</v>
      </c>
      <c r="J12" s="5">
        <v>32</v>
      </c>
      <c r="K12" s="5">
        <v>19</v>
      </c>
      <c r="L12" s="5">
        <v>16</v>
      </c>
      <c r="M12" s="5">
        <v>1</v>
      </c>
      <c r="N12" s="40">
        <v>33</v>
      </c>
      <c r="O12" s="5">
        <v>112</v>
      </c>
      <c r="P12" s="40">
        <v>223</v>
      </c>
      <c r="Q12" s="5">
        <v>16</v>
      </c>
      <c r="R12" s="40">
        <v>8</v>
      </c>
      <c r="S12" s="5">
        <v>8</v>
      </c>
      <c r="T12" s="5">
        <v>19</v>
      </c>
      <c r="U12" s="5">
        <v>16</v>
      </c>
      <c r="V12" s="5">
        <v>10</v>
      </c>
      <c r="W12" s="5">
        <v>124</v>
      </c>
      <c r="X12" s="5">
        <v>7</v>
      </c>
      <c r="Y12" s="22">
        <v>232</v>
      </c>
      <c r="Z12" s="5"/>
      <c r="AA12" s="76"/>
      <c r="AB12" s="76"/>
      <c r="AC12" s="76"/>
      <c r="AD12" s="70"/>
      <c r="AE12" s="70"/>
      <c r="AF12" s="70"/>
      <c r="AG12" s="70"/>
      <c r="AH12" s="70"/>
      <c r="AI12" s="70"/>
      <c r="AJ12" s="70"/>
      <c r="AK12" s="70"/>
      <c r="AM12" s="70"/>
      <c r="AN12" s="70"/>
      <c r="AO12" s="70"/>
      <c r="AP12" s="70"/>
      <c r="AQ12" s="70"/>
      <c r="AR12" s="70"/>
      <c r="AS12" s="70"/>
      <c r="AT12" s="70"/>
      <c r="AU12" s="70"/>
      <c r="AV12" s="70"/>
      <c r="AW12" s="70"/>
    </row>
    <row r="13" spans="2:49" x14ac:dyDescent="0.45">
      <c r="B13" s="77" t="s">
        <v>41</v>
      </c>
      <c r="C13" s="9">
        <v>12.054044964243332</v>
      </c>
      <c r="D13" s="9">
        <v>7.5630681604756154</v>
      </c>
      <c r="E13" s="9">
        <v>5.4497706373754848</v>
      </c>
      <c r="F13" s="9">
        <v>39.277219860881154</v>
      </c>
      <c r="G13" s="9">
        <v>9</v>
      </c>
      <c r="H13" s="9">
        <v>113.0013274258316</v>
      </c>
      <c r="I13" s="9">
        <v>7.1063352017759476</v>
      </c>
      <c r="J13" s="9">
        <v>13.049904214207857</v>
      </c>
      <c r="K13" s="9">
        <v>7.700649323271394</v>
      </c>
      <c r="L13" s="9">
        <v>6.4420493633625631</v>
      </c>
      <c r="M13" s="9">
        <v>0.54772255750516607</v>
      </c>
      <c r="N13" s="41">
        <v>14.570518178843194</v>
      </c>
      <c r="O13" s="9">
        <v>47.971866755422383</v>
      </c>
      <c r="P13" s="41">
        <v>95.872310914048583</v>
      </c>
      <c r="Q13" s="9">
        <v>6.5345237010818158</v>
      </c>
      <c r="R13" s="41">
        <v>3.1304951684996984</v>
      </c>
      <c r="S13" s="9">
        <v>3.3466401061363027</v>
      </c>
      <c r="T13" s="9">
        <v>8.354639429682166</v>
      </c>
      <c r="U13" s="9">
        <v>6.6483080554378677</v>
      </c>
      <c r="V13" s="9">
        <v>4.2071367935925315</v>
      </c>
      <c r="W13" s="9">
        <v>65.668104891187468</v>
      </c>
      <c r="X13" s="9">
        <v>3.0495901363953739</v>
      </c>
      <c r="Y13" s="23">
        <v>98.68282525343507</v>
      </c>
      <c r="Z13" s="5"/>
      <c r="AA13" s="76"/>
      <c r="AB13" s="76"/>
      <c r="AC13" s="76"/>
      <c r="AD13" s="70"/>
      <c r="AE13" s="70"/>
      <c r="AF13" s="70"/>
      <c r="AG13" s="70"/>
      <c r="AH13" s="70"/>
      <c r="AI13" s="70"/>
      <c r="AJ13" s="70"/>
      <c r="AK13" s="70"/>
      <c r="AM13" s="70"/>
      <c r="AN13" s="70"/>
      <c r="AO13" s="70"/>
      <c r="AP13" s="70"/>
      <c r="AQ13" s="70"/>
      <c r="AR13" s="70"/>
      <c r="AS13" s="70"/>
      <c r="AT13" s="70"/>
      <c r="AU13" s="70"/>
      <c r="AV13" s="70"/>
      <c r="AW13" s="70"/>
    </row>
    <row r="14" spans="2:49" x14ac:dyDescent="0.45">
      <c r="B14" s="77" t="s">
        <v>36</v>
      </c>
      <c r="C14" s="64">
        <v>173</v>
      </c>
      <c r="D14" s="64">
        <v>64</v>
      </c>
      <c r="E14" s="64">
        <v>70</v>
      </c>
      <c r="F14" s="64">
        <v>65</v>
      </c>
      <c r="G14" s="64">
        <v>43.5</v>
      </c>
      <c r="H14" s="64">
        <v>45</v>
      </c>
      <c r="I14" s="64">
        <v>47.5</v>
      </c>
      <c r="J14" s="64">
        <v>42</v>
      </c>
      <c r="K14" s="64">
        <v>45.1</v>
      </c>
      <c r="L14" s="64">
        <v>30</v>
      </c>
      <c r="M14" s="64">
        <v>34</v>
      </c>
      <c r="N14" s="65">
        <v>41</v>
      </c>
      <c r="O14" s="64">
        <v>30</v>
      </c>
      <c r="P14" s="65">
        <v>26</v>
      </c>
      <c r="Q14" s="64">
        <v>40</v>
      </c>
      <c r="R14" s="66">
        <v>26</v>
      </c>
      <c r="S14" s="67">
        <v>21</v>
      </c>
      <c r="T14" s="67">
        <v>18</v>
      </c>
      <c r="U14" s="67">
        <v>23</v>
      </c>
      <c r="V14" s="67">
        <v>29.5</v>
      </c>
      <c r="W14" s="67">
        <v>25</v>
      </c>
      <c r="X14" s="67">
        <v>23</v>
      </c>
      <c r="Y14" s="68">
        <v>70</v>
      </c>
      <c r="Z14" s="5"/>
      <c r="AA14" s="76"/>
      <c r="AB14" s="76"/>
      <c r="AC14" s="76"/>
      <c r="AD14" s="70"/>
      <c r="AE14" s="70"/>
      <c r="AF14" s="70"/>
      <c r="AG14" s="70"/>
      <c r="AH14" s="70"/>
      <c r="AI14" s="70"/>
      <c r="AJ14" s="70"/>
      <c r="AK14" s="70"/>
      <c r="AM14" s="70"/>
      <c r="AN14" s="70"/>
      <c r="AO14" s="70"/>
      <c r="AP14" s="70"/>
      <c r="AQ14" s="70"/>
      <c r="AR14" s="70"/>
      <c r="AS14" s="70"/>
      <c r="AT14" s="70"/>
      <c r="AU14" s="70"/>
      <c r="AV14" s="70"/>
      <c r="AW14" s="70"/>
    </row>
    <row r="15" spans="2:49" x14ac:dyDescent="0.45">
      <c r="B15" s="77" t="s">
        <v>42</v>
      </c>
      <c r="C15" s="60">
        <f t="shared" ref="C15:O15" si="2">C11-C14</f>
        <v>19.400000000000006</v>
      </c>
      <c r="D15" s="60">
        <f t="shared" si="2"/>
        <v>27.799999999999997</v>
      </c>
      <c r="E15" s="60">
        <f t="shared" si="2"/>
        <v>0.79999999999999716</v>
      </c>
      <c r="F15" s="60">
        <f t="shared" si="2"/>
        <v>148.80000000000001</v>
      </c>
      <c r="G15" s="60">
        <f t="shared" si="2"/>
        <v>104.5</v>
      </c>
      <c r="H15" s="60">
        <f t="shared" si="2"/>
        <v>122.4</v>
      </c>
      <c r="I15" s="60">
        <f t="shared" si="2"/>
        <v>-3.5</v>
      </c>
      <c r="J15" s="60">
        <f t="shared" si="2"/>
        <v>133.4</v>
      </c>
      <c r="K15" s="60">
        <f t="shared" si="2"/>
        <v>-1.7000000000000028</v>
      </c>
      <c r="L15" s="60">
        <f t="shared" si="2"/>
        <v>-10</v>
      </c>
      <c r="M15" s="60">
        <f t="shared" si="2"/>
        <v>1.6000000000000014</v>
      </c>
      <c r="N15" s="61">
        <f t="shared" si="2"/>
        <v>119.4</v>
      </c>
      <c r="O15" s="60">
        <f t="shared" si="2"/>
        <v>83.6</v>
      </c>
      <c r="P15" s="61">
        <f t="shared" ref="P15:U15" si="3">P11-P14</f>
        <v>39</v>
      </c>
      <c r="Q15" s="60">
        <f t="shared" si="3"/>
        <v>84.2</v>
      </c>
      <c r="R15" s="61">
        <f t="shared" si="3"/>
        <v>-3.6000000000000014</v>
      </c>
      <c r="S15" s="60">
        <f t="shared" si="3"/>
        <v>-15.8</v>
      </c>
      <c r="T15" s="60">
        <f t="shared" si="3"/>
        <v>8.6000000000000014</v>
      </c>
      <c r="U15" s="60">
        <f t="shared" si="3"/>
        <v>5.8000000000000007</v>
      </c>
      <c r="V15" s="60">
        <f>V11-V14</f>
        <v>0.30000000000000071</v>
      </c>
      <c r="W15" s="60">
        <f>W11-W14</f>
        <v>49.599999999999994</v>
      </c>
      <c r="X15" s="60">
        <f>X11-X14</f>
        <v>3.6000000000000014</v>
      </c>
      <c r="Y15" s="62">
        <f>Y11-Y14</f>
        <v>157.6</v>
      </c>
      <c r="Z15" s="5"/>
      <c r="AA15" s="76"/>
      <c r="AB15" s="76"/>
      <c r="AC15" s="76"/>
      <c r="AD15" s="70"/>
      <c r="AE15" s="70"/>
      <c r="AF15" s="70"/>
      <c r="AG15" s="70"/>
      <c r="AH15" s="70"/>
      <c r="AI15" s="70"/>
      <c r="AJ15" s="70"/>
      <c r="AK15" s="70"/>
      <c r="AM15" s="70"/>
      <c r="AN15" s="70"/>
      <c r="AO15" s="70"/>
      <c r="AP15" s="70"/>
      <c r="AQ15" s="70"/>
      <c r="AR15" s="70"/>
      <c r="AS15" s="70"/>
      <c r="AT15" s="70"/>
      <c r="AU15" s="70"/>
      <c r="AV15" s="70"/>
      <c r="AW15" s="70"/>
    </row>
    <row r="16" spans="2:49" x14ac:dyDescent="0.45">
      <c r="B16" s="13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5"/>
      <c r="O16" s="5"/>
      <c r="P16" s="40"/>
      <c r="Q16" s="5"/>
      <c r="R16" s="5"/>
      <c r="S16" s="5"/>
      <c r="T16" s="5"/>
      <c r="U16" s="5"/>
      <c r="V16" s="5"/>
      <c r="W16" s="5"/>
      <c r="X16" s="5"/>
      <c r="Y16" s="5"/>
      <c r="Z16" s="5"/>
      <c r="AA16" s="76"/>
      <c r="AB16" s="76"/>
      <c r="AC16" s="76"/>
      <c r="AD16" s="70"/>
      <c r="AE16" s="70"/>
      <c r="AF16" s="70"/>
      <c r="AG16" s="70"/>
      <c r="AH16" s="70"/>
      <c r="AI16" s="70"/>
      <c r="AJ16" s="70"/>
      <c r="AK16" s="70"/>
      <c r="AM16" s="70"/>
      <c r="AN16" s="70"/>
      <c r="AO16" s="70"/>
      <c r="AP16" s="70"/>
      <c r="AQ16" s="70"/>
      <c r="AR16" s="70"/>
      <c r="AS16" s="70"/>
      <c r="AT16" s="70"/>
      <c r="AU16" s="70"/>
      <c r="AV16" s="70"/>
      <c r="AW16" s="70"/>
    </row>
    <row r="17" spans="2:49" x14ac:dyDescent="0.45">
      <c r="B17" s="102" t="s">
        <v>16</v>
      </c>
      <c r="C17" s="3"/>
      <c r="D17" s="2"/>
      <c r="E17" s="2"/>
      <c r="F17" s="2"/>
      <c r="G17" s="3">
        <v>533</v>
      </c>
      <c r="H17" s="3"/>
      <c r="I17" s="3"/>
      <c r="J17" s="2"/>
      <c r="K17" s="2">
        <v>515</v>
      </c>
      <c r="L17" s="2"/>
      <c r="M17" s="42"/>
      <c r="N17" s="47"/>
      <c r="O17" s="42"/>
      <c r="P17" s="47"/>
      <c r="Q17" s="42"/>
      <c r="R17" s="47">
        <v>572</v>
      </c>
      <c r="S17" s="42"/>
      <c r="T17" s="42"/>
      <c r="U17" s="42">
        <v>503</v>
      </c>
      <c r="V17" s="42"/>
      <c r="W17" s="42">
        <v>209</v>
      </c>
      <c r="X17" s="42"/>
      <c r="Y17" s="24">
        <v>447</v>
      </c>
      <c r="Z17" s="2"/>
      <c r="AA17" s="71"/>
      <c r="AB17" s="71"/>
      <c r="AC17" s="71"/>
      <c r="AD17" s="70"/>
      <c r="AE17" s="70"/>
      <c r="AF17" s="70"/>
      <c r="AG17" s="70"/>
      <c r="AH17" s="70"/>
      <c r="AI17" s="70"/>
      <c r="AJ17" s="70"/>
      <c r="AK17" s="70"/>
      <c r="AM17" s="70"/>
      <c r="AN17" s="70"/>
      <c r="AO17" s="70"/>
      <c r="AP17" s="70"/>
      <c r="AQ17" s="70"/>
      <c r="AR17" s="70"/>
      <c r="AS17" s="70"/>
      <c r="AT17" s="70"/>
      <c r="AU17" s="70"/>
      <c r="AV17" s="70"/>
      <c r="AW17" s="70"/>
    </row>
    <row r="18" spans="2:49" x14ac:dyDescent="0.45">
      <c r="B18" s="102"/>
      <c r="D18" s="2"/>
      <c r="E18" s="2">
        <v>442</v>
      </c>
      <c r="F18" s="2">
        <v>228</v>
      </c>
      <c r="G18" s="3">
        <v>498</v>
      </c>
      <c r="H18" s="3"/>
      <c r="I18" s="2">
        <v>196</v>
      </c>
      <c r="J18" s="2"/>
      <c r="K18" s="2">
        <v>522</v>
      </c>
      <c r="L18" s="2">
        <v>321</v>
      </c>
      <c r="M18" s="2">
        <v>374</v>
      </c>
      <c r="N18" s="31">
        <v>218</v>
      </c>
      <c r="O18" s="2"/>
      <c r="P18" s="31"/>
      <c r="Q18" s="2"/>
      <c r="R18" s="31">
        <v>93</v>
      </c>
      <c r="S18" s="2"/>
      <c r="T18" s="2">
        <v>178</v>
      </c>
      <c r="U18" s="2">
        <v>160</v>
      </c>
      <c r="V18" s="2">
        <v>371</v>
      </c>
      <c r="W18" s="2">
        <v>215</v>
      </c>
      <c r="X18" s="2">
        <v>222</v>
      </c>
      <c r="Y18" s="25">
        <v>77</v>
      </c>
      <c r="Z18" s="2"/>
      <c r="AA18" s="71"/>
      <c r="AB18" s="71"/>
      <c r="AC18" s="71"/>
      <c r="AD18" s="70"/>
      <c r="AE18" s="70"/>
      <c r="AF18" s="70"/>
      <c r="AG18" s="70"/>
      <c r="AH18" s="70"/>
      <c r="AI18" s="70"/>
      <c r="AJ18" s="70"/>
      <c r="AK18" s="70"/>
      <c r="AM18" s="70"/>
      <c r="AN18" s="70"/>
      <c r="AO18" s="70"/>
      <c r="AP18" s="70"/>
      <c r="AQ18" s="70"/>
      <c r="AR18" s="70"/>
      <c r="AS18" s="70"/>
      <c r="AT18" s="70"/>
      <c r="AU18" s="70"/>
      <c r="AV18" s="70"/>
      <c r="AW18" s="70"/>
    </row>
    <row r="19" spans="2:49" x14ac:dyDescent="0.45">
      <c r="B19" s="102"/>
      <c r="C19" s="3">
        <v>314</v>
      </c>
      <c r="D19" s="2"/>
      <c r="E19" s="2">
        <v>689</v>
      </c>
      <c r="F19" s="2">
        <v>78</v>
      </c>
      <c r="G19" s="3">
        <v>530</v>
      </c>
      <c r="H19" s="2">
        <v>421</v>
      </c>
      <c r="I19" s="2">
        <v>113</v>
      </c>
      <c r="J19" s="2">
        <v>345</v>
      </c>
      <c r="K19" s="2">
        <v>513</v>
      </c>
      <c r="L19" s="2">
        <v>232</v>
      </c>
      <c r="M19" s="2">
        <v>184</v>
      </c>
      <c r="N19" s="31">
        <v>20</v>
      </c>
      <c r="O19" s="2"/>
      <c r="P19" s="31">
        <v>320</v>
      </c>
      <c r="R19" s="31">
        <v>31</v>
      </c>
      <c r="S19" s="2">
        <v>101</v>
      </c>
      <c r="T19" s="2">
        <v>178</v>
      </c>
      <c r="U19" s="2">
        <v>151</v>
      </c>
      <c r="V19" s="2">
        <v>212</v>
      </c>
      <c r="W19" s="2">
        <v>78</v>
      </c>
      <c r="X19" s="2">
        <v>787</v>
      </c>
      <c r="Y19" s="25">
        <v>61</v>
      </c>
      <c r="Z19" s="2"/>
      <c r="AA19" s="71"/>
      <c r="AB19" s="71"/>
      <c r="AC19" s="71"/>
      <c r="AD19" s="70"/>
      <c r="AE19" s="70"/>
      <c r="AF19" s="70"/>
      <c r="AG19" s="70"/>
      <c r="AH19" s="70"/>
      <c r="AI19" s="70"/>
      <c r="AJ19" s="70"/>
      <c r="AK19" s="70"/>
      <c r="AM19" s="70"/>
      <c r="AN19" s="70"/>
      <c r="AO19" s="70"/>
      <c r="AP19" s="70"/>
      <c r="AQ19" s="70"/>
      <c r="AR19" s="70"/>
      <c r="AS19" s="70"/>
      <c r="AT19" s="70"/>
      <c r="AU19" s="70"/>
      <c r="AV19" s="70"/>
      <c r="AW19" s="70"/>
    </row>
    <row r="20" spans="2:49" x14ac:dyDescent="0.45">
      <c r="B20" s="102"/>
      <c r="C20" s="3">
        <v>359</v>
      </c>
      <c r="D20" s="2"/>
      <c r="E20" s="2">
        <v>479</v>
      </c>
      <c r="F20" s="2">
        <v>191</v>
      </c>
      <c r="G20" s="3">
        <v>138</v>
      </c>
      <c r="H20" s="2">
        <v>224</v>
      </c>
      <c r="I20" s="2">
        <v>138</v>
      </c>
      <c r="J20" s="2">
        <v>338</v>
      </c>
      <c r="K20" s="2">
        <v>542</v>
      </c>
      <c r="L20" s="2">
        <v>122</v>
      </c>
      <c r="M20" s="2">
        <v>167</v>
      </c>
      <c r="N20" s="31">
        <v>149</v>
      </c>
      <c r="O20" s="2"/>
      <c r="P20" s="31">
        <v>3</v>
      </c>
      <c r="Q20" s="2">
        <v>304</v>
      </c>
      <c r="R20" s="31">
        <v>12</v>
      </c>
      <c r="S20" s="2">
        <v>25</v>
      </c>
      <c r="T20" s="2">
        <v>775</v>
      </c>
      <c r="U20" s="2">
        <v>25</v>
      </c>
      <c r="V20" s="2">
        <v>102</v>
      </c>
      <c r="W20" s="2">
        <v>145</v>
      </c>
      <c r="X20" s="2">
        <v>14</v>
      </c>
      <c r="Y20" s="25">
        <v>255</v>
      </c>
      <c r="Z20" s="2"/>
      <c r="AA20" s="71"/>
      <c r="AB20" s="71"/>
      <c r="AC20" s="71"/>
      <c r="AD20" s="70"/>
      <c r="AE20" s="70"/>
      <c r="AF20" s="70"/>
      <c r="AG20" s="70"/>
      <c r="AH20" s="70"/>
      <c r="AI20" s="70"/>
      <c r="AJ20" s="70"/>
      <c r="AK20" s="70"/>
      <c r="AM20" s="70"/>
      <c r="AN20" s="70"/>
      <c r="AO20" s="70"/>
      <c r="AP20" s="70"/>
      <c r="AQ20" s="70"/>
      <c r="AR20" s="70"/>
      <c r="AS20" s="70"/>
      <c r="AT20" s="70"/>
      <c r="AU20" s="70"/>
      <c r="AV20" s="70"/>
      <c r="AW20" s="70"/>
    </row>
    <row r="21" spans="2:49" x14ac:dyDescent="0.45">
      <c r="B21" s="102"/>
      <c r="C21" s="3">
        <v>641</v>
      </c>
      <c r="D21" s="2"/>
      <c r="E21" s="2">
        <v>264</v>
      </c>
      <c r="F21" s="2">
        <v>178</v>
      </c>
      <c r="G21" s="3">
        <v>148</v>
      </c>
      <c r="H21" s="2">
        <v>809</v>
      </c>
      <c r="I21" s="2">
        <v>28</v>
      </c>
      <c r="J21" s="2">
        <v>212</v>
      </c>
      <c r="K21" s="2">
        <v>33</v>
      </c>
      <c r="L21" s="2">
        <v>43</v>
      </c>
      <c r="M21" s="2">
        <v>166</v>
      </c>
      <c r="N21" s="31">
        <v>147</v>
      </c>
      <c r="O21" s="2">
        <v>55</v>
      </c>
      <c r="P21" s="31">
        <v>55</v>
      </c>
      <c r="Q21" s="2">
        <v>299</v>
      </c>
      <c r="R21" s="31">
        <v>22</v>
      </c>
      <c r="S21" s="2">
        <v>3</v>
      </c>
      <c r="T21" s="2">
        <v>52</v>
      </c>
      <c r="U21" s="2">
        <v>33</v>
      </c>
      <c r="V21" s="2">
        <v>794</v>
      </c>
      <c r="W21" s="2">
        <v>148</v>
      </c>
      <c r="X21" s="2">
        <v>24</v>
      </c>
      <c r="Y21" s="25">
        <v>366</v>
      </c>
      <c r="Z21" s="2"/>
      <c r="AA21" s="71"/>
      <c r="AB21" s="71"/>
      <c r="AC21" s="71"/>
      <c r="AD21" s="70"/>
      <c r="AE21" s="70"/>
      <c r="AF21" s="70"/>
      <c r="AG21" s="70"/>
      <c r="AH21" s="70"/>
      <c r="AI21" s="70"/>
      <c r="AJ21" s="70"/>
      <c r="AK21" s="70"/>
      <c r="AM21" s="70"/>
      <c r="AN21" s="70"/>
      <c r="AO21" s="70"/>
      <c r="AP21" s="70"/>
      <c r="AQ21" s="70"/>
      <c r="AR21" s="70"/>
      <c r="AS21" s="70"/>
      <c r="AT21" s="70"/>
      <c r="AU21" s="70"/>
      <c r="AV21" s="70"/>
      <c r="AW21" s="70"/>
    </row>
    <row r="22" spans="2:49" x14ac:dyDescent="0.45">
      <c r="B22" s="102"/>
      <c r="C22" s="3">
        <v>409</v>
      </c>
      <c r="D22" s="2">
        <v>395</v>
      </c>
      <c r="E22" s="2">
        <v>74</v>
      </c>
      <c r="F22" s="2">
        <v>201</v>
      </c>
      <c r="G22" s="3">
        <v>157</v>
      </c>
      <c r="H22" s="2">
        <v>129</v>
      </c>
      <c r="I22" s="2">
        <v>46</v>
      </c>
      <c r="J22" s="2">
        <v>153</v>
      </c>
      <c r="K22" s="2">
        <v>31</v>
      </c>
      <c r="L22" s="2">
        <v>19</v>
      </c>
      <c r="M22" s="2">
        <v>35</v>
      </c>
      <c r="N22" s="31">
        <v>170</v>
      </c>
      <c r="O22" s="2">
        <v>136</v>
      </c>
      <c r="P22" s="31">
        <v>19</v>
      </c>
      <c r="Q22" s="2">
        <v>851</v>
      </c>
      <c r="R22" s="31">
        <v>24</v>
      </c>
      <c r="S22" s="2">
        <v>5</v>
      </c>
      <c r="T22" s="2">
        <v>43</v>
      </c>
      <c r="U22" s="2">
        <v>19</v>
      </c>
      <c r="V22" s="2">
        <v>199</v>
      </c>
      <c r="W22" s="2">
        <v>29</v>
      </c>
      <c r="X22" s="2">
        <v>29</v>
      </c>
      <c r="Y22" s="25">
        <v>284</v>
      </c>
      <c r="Z22" s="2"/>
      <c r="AA22" s="71"/>
      <c r="AB22" s="71"/>
      <c r="AC22" s="71"/>
      <c r="AD22" s="70"/>
      <c r="AE22" s="70"/>
      <c r="AF22" s="70"/>
      <c r="AG22" s="70"/>
      <c r="AH22" s="70"/>
      <c r="AI22" s="70"/>
      <c r="AJ22" s="70"/>
      <c r="AK22" s="70"/>
      <c r="AM22" s="70"/>
      <c r="AN22" s="70"/>
      <c r="AO22" s="70"/>
      <c r="AP22" s="70"/>
      <c r="AQ22" s="70"/>
      <c r="AR22" s="70"/>
      <c r="AS22" s="70"/>
      <c r="AT22" s="70"/>
      <c r="AU22" s="70"/>
      <c r="AV22" s="70"/>
      <c r="AW22" s="70"/>
    </row>
    <row r="23" spans="2:49" x14ac:dyDescent="0.45">
      <c r="B23" s="102"/>
      <c r="C23" s="3">
        <v>366</v>
      </c>
      <c r="D23" s="2">
        <v>33</v>
      </c>
      <c r="E23" s="2">
        <v>72</v>
      </c>
      <c r="F23" s="2">
        <v>193</v>
      </c>
      <c r="G23" s="3">
        <v>135</v>
      </c>
      <c r="H23" s="2">
        <v>39</v>
      </c>
      <c r="I23" s="2">
        <v>46</v>
      </c>
      <c r="J23" s="2">
        <v>184</v>
      </c>
      <c r="K23" s="2">
        <v>47</v>
      </c>
      <c r="L23" s="2">
        <v>22</v>
      </c>
      <c r="M23" s="2">
        <v>36</v>
      </c>
      <c r="N23" s="31">
        <v>176</v>
      </c>
      <c r="O23" s="2">
        <v>35</v>
      </c>
      <c r="P23" s="31">
        <v>13</v>
      </c>
      <c r="Q23" s="2">
        <v>771</v>
      </c>
      <c r="R23" s="31">
        <v>27</v>
      </c>
      <c r="S23" s="2">
        <v>8</v>
      </c>
      <c r="T23" s="2">
        <v>18</v>
      </c>
      <c r="U23" s="2">
        <v>32</v>
      </c>
      <c r="V23" s="2">
        <v>32</v>
      </c>
      <c r="W23" s="2">
        <v>24</v>
      </c>
      <c r="X23" s="2">
        <v>30</v>
      </c>
      <c r="Y23" s="25">
        <v>271</v>
      </c>
      <c r="Z23" s="2"/>
      <c r="AA23" s="71"/>
      <c r="AB23" s="71"/>
      <c r="AC23" s="71"/>
      <c r="AD23" s="70"/>
      <c r="AE23" s="70"/>
      <c r="AF23" s="70"/>
      <c r="AG23" s="70"/>
      <c r="AH23" s="70"/>
      <c r="AI23" s="70"/>
      <c r="AJ23" s="70"/>
      <c r="AK23" s="70"/>
      <c r="AM23" s="70"/>
      <c r="AN23" s="70"/>
      <c r="AO23" s="70"/>
      <c r="AP23" s="70"/>
      <c r="AQ23" s="70"/>
      <c r="AR23" s="70"/>
      <c r="AS23" s="70"/>
      <c r="AT23" s="70"/>
      <c r="AU23" s="70"/>
      <c r="AV23" s="70"/>
      <c r="AW23" s="70"/>
    </row>
    <row r="24" spans="2:49" x14ac:dyDescent="0.45">
      <c r="B24" s="102"/>
      <c r="C24" s="3">
        <v>469</v>
      </c>
      <c r="D24" s="2">
        <v>38</v>
      </c>
      <c r="E24" s="2">
        <v>71</v>
      </c>
      <c r="F24" s="2">
        <v>257</v>
      </c>
      <c r="G24" s="3">
        <v>145</v>
      </c>
      <c r="H24" s="2">
        <v>49</v>
      </c>
      <c r="I24" s="2">
        <v>45</v>
      </c>
      <c r="J24" s="2">
        <v>176</v>
      </c>
      <c r="K24" s="2">
        <v>50</v>
      </c>
      <c r="L24" s="2">
        <v>14</v>
      </c>
      <c r="M24" s="2">
        <v>35</v>
      </c>
      <c r="N24" s="31">
        <v>166</v>
      </c>
      <c r="O24" s="2">
        <v>28</v>
      </c>
      <c r="P24" s="31">
        <v>33</v>
      </c>
      <c r="Q24" s="2">
        <v>124</v>
      </c>
      <c r="R24" s="31">
        <v>21</v>
      </c>
      <c r="S24" s="2">
        <v>9</v>
      </c>
      <c r="T24" s="2">
        <v>22</v>
      </c>
      <c r="U24" s="2">
        <v>25</v>
      </c>
      <c r="V24" s="2">
        <v>35</v>
      </c>
      <c r="W24" s="2">
        <v>27</v>
      </c>
      <c r="X24" s="2">
        <v>23</v>
      </c>
      <c r="Y24" s="25">
        <v>256</v>
      </c>
      <c r="Z24" s="2"/>
      <c r="AA24" s="71"/>
      <c r="AB24" s="71"/>
      <c r="AC24" s="71"/>
      <c r="AD24" s="70"/>
      <c r="AE24" s="70"/>
      <c r="AF24" s="70"/>
      <c r="AG24" s="70"/>
      <c r="AH24" s="70"/>
      <c r="AI24" s="70"/>
      <c r="AJ24" s="70"/>
      <c r="AK24" s="70"/>
      <c r="AM24" s="70"/>
      <c r="AN24" s="70"/>
      <c r="AO24" s="70"/>
      <c r="AP24" s="70"/>
      <c r="AQ24" s="70"/>
      <c r="AR24" s="70"/>
      <c r="AS24" s="70"/>
      <c r="AT24" s="70"/>
      <c r="AU24" s="70"/>
      <c r="AV24" s="70"/>
      <c r="AW24" s="70"/>
    </row>
    <row r="25" spans="2:49" x14ac:dyDescent="0.45">
      <c r="B25" s="102"/>
      <c r="C25" s="3">
        <v>173</v>
      </c>
      <c r="D25" s="2">
        <v>99</v>
      </c>
      <c r="E25" s="2">
        <v>62</v>
      </c>
      <c r="F25" s="2">
        <v>183</v>
      </c>
      <c r="G25" s="3">
        <v>147</v>
      </c>
      <c r="H25" s="2">
        <v>239</v>
      </c>
      <c r="I25" s="2">
        <v>32</v>
      </c>
      <c r="J25" s="2">
        <v>179</v>
      </c>
      <c r="K25" s="2">
        <v>41</v>
      </c>
      <c r="L25" s="2">
        <v>30</v>
      </c>
      <c r="M25" s="2">
        <v>36</v>
      </c>
      <c r="N25" s="31">
        <v>143</v>
      </c>
      <c r="O25" s="2">
        <v>133</v>
      </c>
      <c r="P25" s="31">
        <v>24</v>
      </c>
      <c r="Q25" s="2">
        <v>129</v>
      </c>
      <c r="R25" s="31">
        <v>21</v>
      </c>
      <c r="S25" s="2">
        <v>1</v>
      </c>
      <c r="T25" s="2">
        <v>34</v>
      </c>
      <c r="U25" s="2">
        <v>35</v>
      </c>
      <c r="V25" s="2">
        <v>31</v>
      </c>
      <c r="W25" s="2"/>
      <c r="X25" s="2">
        <v>27</v>
      </c>
      <c r="Y25" s="25">
        <v>52</v>
      </c>
      <c r="Z25" s="2"/>
      <c r="AA25" s="71"/>
      <c r="AB25" s="71"/>
      <c r="AC25" s="71"/>
      <c r="AD25" s="70"/>
      <c r="AE25" s="70"/>
      <c r="AF25" s="70"/>
      <c r="AG25" s="70"/>
      <c r="AH25" s="70"/>
      <c r="AI25" s="70"/>
      <c r="AJ25" s="70"/>
      <c r="AK25" s="70"/>
      <c r="AM25" s="70"/>
      <c r="AN25" s="70"/>
      <c r="AO25" s="70"/>
      <c r="AP25" s="70"/>
      <c r="AQ25" s="70"/>
      <c r="AR25" s="70"/>
      <c r="AS25" s="70"/>
      <c r="AT25" s="70"/>
      <c r="AU25" s="70"/>
      <c r="AV25" s="70"/>
      <c r="AW25" s="70"/>
    </row>
    <row r="26" spans="2:49" x14ac:dyDescent="0.45">
      <c r="B26" s="102"/>
      <c r="C26" s="3">
        <v>197</v>
      </c>
      <c r="D26" s="2">
        <v>87</v>
      </c>
      <c r="E26" s="2">
        <v>72</v>
      </c>
      <c r="F26" s="2">
        <v>256</v>
      </c>
      <c r="G26" s="3">
        <v>156</v>
      </c>
      <c r="H26" s="2">
        <v>248</v>
      </c>
      <c r="I26" s="2">
        <v>51</v>
      </c>
      <c r="J26" s="2">
        <v>185</v>
      </c>
      <c r="K26" s="2">
        <v>48</v>
      </c>
      <c r="L26" s="2">
        <v>15</v>
      </c>
      <c r="M26" s="2">
        <v>36</v>
      </c>
      <c r="N26" s="31"/>
      <c r="O26" s="2">
        <v>131</v>
      </c>
      <c r="P26" s="31">
        <v>236</v>
      </c>
      <c r="Q26" s="2">
        <v>128</v>
      </c>
      <c r="R26" s="31">
        <v>19</v>
      </c>
      <c r="S26" s="2"/>
      <c r="T26" s="2">
        <v>22</v>
      </c>
      <c r="U26" s="2"/>
      <c r="V26" s="2">
        <v>25</v>
      </c>
      <c r="W26" s="2"/>
      <c r="X26" s="2"/>
      <c r="Y26" s="25">
        <v>275</v>
      </c>
      <c r="Z26" s="2"/>
      <c r="AA26" s="71"/>
      <c r="AB26" s="71"/>
      <c r="AC26" s="71"/>
      <c r="AD26" s="70"/>
      <c r="AE26" s="70"/>
      <c r="AF26" s="70"/>
      <c r="AG26" s="70"/>
      <c r="AH26" s="70"/>
      <c r="AI26" s="70"/>
      <c r="AJ26" s="70"/>
      <c r="AK26" s="70"/>
      <c r="AM26" s="70"/>
      <c r="AN26" s="70"/>
      <c r="AO26" s="70"/>
      <c r="AP26" s="70"/>
      <c r="AQ26" s="70"/>
      <c r="AR26" s="70"/>
      <c r="AS26" s="70"/>
      <c r="AT26" s="70"/>
      <c r="AU26" s="70"/>
      <c r="AV26" s="70"/>
      <c r="AW26" s="70"/>
    </row>
    <row r="27" spans="2:49" x14ac:dyDescent="0.45">
      <c r="B27" s="102"/>
      <c r="C27" s="3">
        <v>171</v>
      </c>
      <c r="D27" s="2">
        <v>95</v>
      </c>
      <c r="E27" s="2">
        <v>77</v>
      </c>
      <c r="F27" s="2">
        <v>180</v>
      </c>
      <c r="G27" s="2"/>
      <c r="H27" s="2">
        <v>262</v>
      </c>
      <c r="I27" s="2">
        <v>46</v>
      </c>
      <c r="J27" s="2"/>
      <c r="K27" s="2"/>
      <c r="L27" s="2"/>
      <c r="M27" s="2">
        <v>35</v>
      </c>
      <c r="N27" s="31"/>
      <c r="O27" s="2">
        <v>140</v>
      </c>
      <c r="P27" s="31"/>
      <c r="Q27" s="2">
        <v>113</v>
      </c>
      <c r="R27" s="31"/>
      <c r="S27" s="2"/>
      <c r="T27" s="2">
        <v>18</v>
      </c>
      <c r="U27" s="2"/>
      <c r="V27" s="2">
        <v>26</v>
      </c>
      <c r="W27" s="2"/>
      <c r="X27" s="2"/>
      <c r="Y27" s="25"/>
      <c r="Z27" s="2"/>
      <c r="AA27" s="71"/>
      <c r="AB27" s="71"/>
      <c r="AC27" s="71"/>
      <c r="AD27" s="70"/>
      <c r="AE27" s="70"/>
      <c r="AF27" s="70"/>
      <c r="AG27" s="70"/>
      <c r="AH27" s="70"/>
      <c r="AI27" s="70"/>
      <c r="AJ27" s="70"/>
      <c r="AK27" s="70"/>
      <c r="AM27" s="70"/>
      <c r="AN27" s="70"/>
      <c r="AO27" s="70"/>
      <c r="AP27" s="70"/>
      <c r="AQ27" s="70"/>
      <c r="AR27" s="70"/>
      <c r="AS27" s="70"/>
      <c r="AT27" s="70"/>
      <c r="AU27" s="70"/>
      <c r="AV27" s="70"/>
      <c r="AW27" s="70"/>
    </row>
    <row r="28" spans="2:49" x14ac:dyDescent="0.45">
      <c r="B28" s="102"/>
      <c r="C28" s="3">
        <v>198</v>
      </c>
      <c r="D28" s="2">
        <v>81</v>
      </c>
      <c r="L28" s="2"/>
      <c r="M28" s="2"/>
      <c r="N28" s="31"/>
      <c r="O28" s="2">
        <v>136</v>
      </c>
      <c r="P28" s="31"/>
      <c r="Q28" s="2">
        <v>127</v>
      </c>
      <c r="R28" s="31"/>
      <c r="S28" s="2"/>
      <c r="T28" s="2">
        <v>37</v>
      </c>
      <c r="U28" s="2"/>
      <c r="V28" s="2">
        <v>32</v>
      </c>
      <c r="W28" s="2"/>
      <c r="X28" s="2"/>
      <c r="Y28" s="25"/>
      <c r="Z28" s="2"/>
      <c r="AA28" s="71"/>
      <c r="AB28" s="71"/>
      <c r="AC28" s="71"/>
      <c r="AD28" s="70"/>
      <c r="AE28" s="70"/>
      <c r="AF28" s="70"/>
      <c r="AG28" s="70"/>
      <c r="AH28" s="70"/>
      <c r="AI28" s="70"/>
      <c r="AJ28" s="70"/>
      <c r="AK28" s="70"/>
      <c r="AM28" s="70"/>
      <c r="AN28" s="70"/>
      <c r="AO28" s="70"/>
      <c r="AP28" s="70"/>
      <c r="AQ28" s="70"/>
      <c r="AR28" s="70"/>
      <c r="AS28" s="70"/>
      <c r="AT28" s="70"/>
      <c r="AU28" s="70"/>
      <c r="AV28" s="70"/>
      <c r="AW28" s="70"/>
    </row>
    <row r="29" spans="2:49" x14ac:dyDescent="0.45">
      <c r="B29" s="102"/>
      <c r="C29" s="3">
        <v>196</v>
      </c>
      <c r="D29" s="2">
        <v>97</v>
      </c>
      <c r="M29" s="2"/>
      <c r="N29" s="31"/>
      <c r="O29" s="2"/>
      <c r="P29" s="31"/>
      <c r="Q29" s="2">
        <v>124</v>
      </c>
      <c r="R29" s="31"/>
      <c r="S29" s="2"/>
      <c r="T29" s="2"/>
      <c r="U29" s="2"/>
      <c r="V29" s="2"/>
      <c r="W29" s="2"/>
      <c r="X29" s="2"/>
      <c r="Y29" s="25"/>
      <c r="Z29" s="2"/>
      <c r="AA29" s="71"/>
      <c r="AB29" s="71"/>
      <c r="AC29" s="71"/>
      <c r="AD29" s="70"/>
      <c r="AE29" s="70"/>
      <c r="AF29" s="70"/>
      <c r="AG29" s="70"/>
      <c r="AH29" s="70"/>
      <c r="AI29" s="70"/>
      <c r="AJ29" s="70"/>
      <c r="AK29" s="70"/>
      <c r="AM29" s="70"/>
      <c r="AN29" s="70"/>
      <c r="AO29" s="70"/>
      <c r="AP29" s="70"/>
      <c r="AQ29" s="70"/>
      <c r="AR29" s="70"/>
      <c r="AS29" s="70"/>
      <c r="AT29" s="70"/>
      <c r="AU29" s="70"/>
      <c r="AV29" s="70"/>
      <c r="AW29" s="70"/>
    </row>
    <row r="30" spans="2:49" x14ac:dyDescent="0.45">
      <c r="B30" s="102"/>
      <c r="C30" s="7">
        <v>200</v>
      </c>
      <c r="D30" s="6"/>
      <c r="E30" s="8"/>
      <c r="F30" s="8"/>
      <c r="G30" s="8"/>
      <c r="H30" s="8"/>
      <c r="I30" s="8"/>
      <c r="J30" s="8"/>
      <c r="K30" s="8"/>
      <c r="L30" s="8"/>
      <c r="M30" s="6"/>
      <c r="N30" s="48"/>
      <c r="O30" s="6"/>
      <c r="P30" s="48"/>
      <c r="Q30" s="6"/>
      <c r="R30" s="48"/>
      <c r="S30" s="6"/>
      <c r="T30" s="6"/>
      <c r="U30" s="6"/>
      <c r="V30" s="6"/>
      <c r="W30" s="6"/>
      <c r="X30" s="6"/>
      <c r="Y30" s="26"/>
      <c r="Z30" s="2"/>
      <c r="AA30" s="71"/>
      <c r="AB30" s="71"/>
      <c r="AC30" s="71"/>
      <c r="AD30" s="70"/>
      <c r="AE30" s="70"/>
      <c r="AF30" s="70"/>
      <c r="AG30" s="70"/>
      <c r="AH30" s="70"/>
      <c r="AI30" s="70"/>
      <c r="AJ30" s="70"/>
      <c r="AK30" s="70"/>
      <c r="AM30" s="70"/>
      <c r="AN30" s="70"/>
      <c r="AO30" s="70"/>
      <c r="AP30" s="70"/>
      <c r="AQ30" s="70"/>
      <c r="AR30" s="70"/>
      <c r="AS30" s="70"/>
      <c r="AT30" s="70"/>
      <c r="AU30" s="70"/>
      <c r="AV30" s="70"/>
      <c r="AW30" s="70"/>
    </row>
    <row r="31" spans="2:49" x14ac:dyDescent="0.45">
      <c r="B31" s="15"/>
      <c r="C31" s="16"/>
      <c r="D31" s="17"/>
      <c r="E31" s="18"/>
      <c r="F31" s="18"/>
      <c r="G31" s="18"/>
      <c r="H31" s="18"/>
      <c r="I31" s="18"/>
      <c r="J31" s="18"/>
      <c r="K31" s="18"/>
      <c r="L31" s="18"/>
      <c r="M31" s="18"/>
      <c r="P31" s="43"/>
    </row>
    <row r="32" spans="2:49" x14ac:dyDescent="0.45">
      <c r="B32" s="102" t="s">
        <v>15</v>
      </c>
      <c r="J32" s="2"/>
      <c r="K32" s="2"/>
      <c r="L32" s="2"/>
      <c r="M32" s="42"/>
      <c r="N32" s="47"/>
      <c r="O32" s="42"/>
      <c r="P32" s="47"/>
      <c r="Q32" s="42"/>
      <c r="R32" s="47"/>
      <c r="S32" s="42"/>
      <c r="T32" s="42"/>
      <c r="U32" s="42"/>
      <c r="V32" s="42"/>
      <c r="W32" s="42"/>
      <c r="X32" s="42"/>
      <c r="Y32" s="24"/>
      <c r="Z32" s="2"/>
      <c r="AA32" s="2"/>
      <c r="AB32" s="2"/>
      <c r="AC32" s="2"/>
    </row>
    <row r="33" spans="2:29" x14ac:dyDescent="0.45">
      <c r="B33" s="102"/>
      <c r="J33" s="2"/>
      <c r="K33" s="2"/>
      <c r="L33" s="2"/>
      <c r="M33" s="2"/>
      <c r="N33" s="31"/>
      <c r="O33" s="2"/>
      <c r="P33" s="31"/>
      <c r="Q33" s="2"/>
      <c r="R33" s="31"/>
      <c r="S33" s="2"/>
      <c r="T33" s="2"/>
      <c r="U33" s="2"/>
      <c r="V33" s="2"/>
      <c r="W33" s="2"/>
      <c r="X33" s="2"/>
      <c r="Y33" s="25"/>
      <c r="Z33" s="2"/>
      <c r="AA33" s="2"/>
      <c r="AB33" s="2"/>
      <c r="AC33" s="2"/>
    </row>
    <row r="34" spans="2:29" x14ac:dyDescent="0.45">
      <c r="B34" s="102"/>
      <c r="J34" s="2"/>
      <c r="K34" s="2"/>
      <c r="L34" s="2"/>
      <c r="M34" s="2"/>
      <c r="N34" s="31"/>
      <c r="O34" s="2"/>
      <c r="P34" s="31"/>
      <c r="Q34" s="2"/>
      <c r="R34" s="31"/>
      <c r="S34" s="2"/>
      <c r="T34" s="2"/>
      <c r="U34" s="2"/>
      <c r="V34" s="2"/>
      <c r="W34" s="2"/>
      <c r="X34" s="2"/>
      <c r="Y34" s="25"/>
      <c r="Z34" s="2"/>
      <c r="AA34" s="2"/>
      <c r="AB34" s="2"/>
      <c r="AC34" s="2"/>
    </row>
    <row r="35" spans="2:29" x14ac:dyDescent="0.45">
      <c r="B35" s="102"/>
      <c r="J35" s="2"/>
      <c r="K35" s="2"/>
      <c r="L35" s="2"/>
      <c r="M35" s="2"/>
      <c r="N35" s="31"/>
      <c r="O35" s="2"/>
      <c r="P35" s="31"/>
      <c r="Q35" s="2"/>
      <c r="R35" s="31"/>
      <c r="S35" s="2"/>
      <c r="T35" s="2"/>
      <c r="U35" s="2"/>
      <c r="V35" s="2"/>
      <c r="W35" s="2">
        <f>IF(AND(ISNUMBER(W20),COUNT(W20:W$30)&lt;=5),W20,NA())</f>
        <v>145</v>
      </c>
      <c r="X35" s="2"/>
      <c r="Y35" s="25"/>
      <c r="Z35" s="2"/>
      <c r="AA35" s="2"/>
      <c r="AB35" s="2"/>
      <c r="AC35" s="2"/>
    </row>
    <row r="36" spans="2:29" x14ac:dyDescent="0.45">
      <c r="B36" s="102"/>
      <c r="J36" s="2"/>
      <c r="K36" s="2"/>
      <c r="L36" s="2"/>
      <c r="M36" s="2"/>
      <c r="N36" s="31">
        <f t="shared" ref="N36:S36" si="4">N21</f>
        <v>147</v>
      </c>
      <c r="O36" s="2"/>
      <c r="P36" s="31"/>
      <c r="Q36" s="2"/>
      <c r="R36" s="31"/>
      <c r="S36" s="2">
        <f t="shared" si="4"/>
        <v>3</v>
      </c>
      <c r="T36" s="2"/>
      <c r="U36" s="2">
        <f t="shared" ref="U36" si="5">U21</f>
        <v>33</v>
      </c>
      <c r="V36" s="2"/>
      <c r="W36" s="2">
        <f>IF(AND(ISNUMBER(W21),COUNT(W21:W$30)&lt;=5),W21,NA())</f>
        <v>148</v>
      </c>
      <c r="X36" s="2">
        <f>IF(AND(ISNUMBER(X21),COUNT(X21:X$30)&lt;=5),X21,NA())</f>
        <v>24</v>
      </c>
      <c r="Y36" s="25"/>
      <c r="Z36" s="2"/>
      <c r="AA36" s="2"/>
      <c r="AB36" s="2"/>
      <c r="AC36" s="2"/>
    </row>
    <row r="37" spans="2:29" x14ac:dyDescent="0.45">
      <c r="B37" s="102"/>
      <c r="G37">
        <f>G22</f>
        <v>157</v>
      </c>
      <c r="J37" s="2">
        <f t="shared" ref="J37:K41" si="6">J22</f>
        <v>153</v>
      </c>
      <c r="K37" s="2">
        <f t="shared" si="6"/>
        <v>31</v>
      </c>
      <c r="L37" s="2">
        <f>L22</f>
        <v>19</v>
      </c>
      <c r="M37" s="2"/>
      <c r="N37" s="31">
        <f t="shared" ref="N37:S37" si="7">N22</f>
        <v>170</v>
      </c>
      <c r="O37" s="2"/>
      <c r="P37" s="31">
        <f t="shared" si="7"/>
        <v>19</v>
      </c>
      <c r="Q37" s="2"/>
      <c r="R37" s="31">
        <f t="shared" si="7"/>
        <v>24</v>
      </c>
      <c r="S37" s="2">
        <f t="shared" si="7"/>
        <v>5</v>
      </c>
      <c r="T37" s="2"/>
      <c r="U37" s="2">
        <f t="shared" ref="U37" si="8">U22</f>
        <v>19</v>
      </c>
      <c r="V37" s="2"/>
      <c r="W37" s="2">
        <f>IF(AND(ISNUMBER(W22),COUNT(W22:W$30)&lt;=5),W22,NA())</f>
        <v>29</v>
      </c>
      <c r="X37" s="2">
        <f>IF(AND(ISNUMBER(X22),COUNT(X22:X$30)&lt;=5),X22,NA())</f>
        <v>29</v>
      </c>
      <c r="Y37" s="25">
        <f>IF(AND(ISNUMBER(Y22),COUNT(Y22:Y$30)&lt;=5),Y22,NA())</f>
        <v>284</v>
      </c>
      <c r="Z37" s="2"/>
      <c r="AA37" s="2"/>
      <c r="AB37" s="2"/>
      <c r="AC37" s="2"/>
    </row>
    <row r="38" spans="2:29" x14ac:dyDescent="0.45">
      <c r="B38" s="102"/>
      <c r="E38">
        <f t="shared" ref="E38:F42" si="9">E23</f>
        <v>72</v>
      </c>
      <c r="F38">
        <f t="shared" si="9"/>
        <v>193</v>
      </c>
      <c r="G38">
        <f>G23</f>
        <v>135</v>
      </c>
      <c r="H38">
        <f t="shared" ref="H38:I42" si="10">H23</f>
        <v>39</v>
      </c>
      <c r="I38">
        <f t="shared" si="10"/>
        <v>46</v>
      </c>
      <c r="J38" s="2">
        <f t="shared" si="6"/>
        <v>184</v>
      </c>
      <c r="K38" s="2">
        <f t="shared" si="6"/>
        <v>47</v>
      </c>
      <c r="L38" s="2">
        <f>L23</f>
        <v>22</v>
      </c>
      <c r="M38" s="2">
        <f>M23</f>
        <v>36</v>
      </c>
      <c r="N38" s="31">
        <f t="shared" ref="N38:S38" si="11">N23</f>
        <v>176</v>
      </c>
      <c r="O38" s="2"/>
      <c r="P38" s="31">
        <f t="shared" si="11"/>
        <v>13</v>
      </c>
      <c r="Q38" s="2"/>
      <c r="R38" s="31">
        <f t="shared" si="11"/>
        <v>27</v>
      </c>
      <c r="S38" s="2">
        <f t="shared" si="11"/>
        <v>8</v>
      </c>
      <c r="T38" s="2"/>
      <c r="U38" s="2">
        <f t="shared" ref="U38" si="12">U23</f>
        <v>32</v>
      </c>
      <c r="V38" s="2"/>
      <c r="W38" s="2">
        <f>IF(AND(ISNUMBER(W23),COUNT(W23:W$30)&lt;=5),W23,NA())</f>
        <v>24</v>
      </c>
      <c r="X38" s="2">
        <f>IF(AND(ISNUMBER(X23),COUNT(X23:X$30)&lt;=5),X23,NA())</f>
        <v>30</v>
      </c>
      <c r="Y38" s="25">
        <f>IF(AND(ISNUMBER(Y23),COUNT(Y23:Y$30)&lt;=5),Y23,NA())</f>
        <v>271</v>
      </c>
      <c r="Z38" s="2"/>
      <c r="AA38" s="2"/>
      <c r="AB38" s="2"/>
      <c r="AC38" s="2"/>
    </row>
    <row r="39" spans="2:29" x14ac:dyDescent="0.45">
      <c r="B39" s="102"/>
      <c r="E39">
        <f t="shared" si="9"/>
        <v>71</v>
      </c>
      <c r="F39">
        <f t="shared" si="9"/>
        <v>257</v>
      </c>
      <c r="G39">
        <f>G24</f>
        <v>145</v>
      </c>
      <c r="H39">
        <f t="shared" si="10"/>
        <v>49</v>
      </c>
      <c r="I39">
        <f t="shared" si="10"/>
        <v>45</v>
      </c>
      <c r="J39" s="2">
        <f t="shared" si="6"/>
        <v>176</v>
      </c>
      <c r="K39" s="2">
        <f t="shared" si="6"/>
        <v>50</v>
      </c>
      <c r="L39" s="2">
        <f>L24</f>
        <v>14</v>
      </c>
      <c r="M39" s="2">
        <f>M24</f>
        <v>35</v>
      </c>
      <c r="N39" s="31">
        <f t="shared" ref="N39:S39" si="13">N24</f>
        <v>166</v>
      </c>
      <c r="O39" s="2">
        <f t="shared" si="13"/>
        <v>28</v>
      </c>
      <c r="P39" s="31">
        <f t="shared" si="13"/>
        <v>33</v>
      </c>
      <c r="Q39" s="2"/>
      <c r="R39" s="31">
        <f t="shared" si="13"/>
        <v>21</v>
      </c>
      <c r="S39" s="2">
        <f t="shared" si="13"/>
        <v>9</v>
      </c>
      <c r="T39" s="2">
        <f t="shared" ref="T39:U39" si="14">T24</f>
        <v>22</v>
      </c>
      <c r="U39" s="2">
        <f t="shared" si="14"/>
        <v>25</v>
      </c>
      <c r="V39" s="2">
        <f>IF(AND(ISNUMBER(V24),COUNT(V24:V$30)&lt;=5),V24,NA())</f>
        <v>35</v>
      </c>
      <c r="W39" s="2">
        <f>IF(AND(ISNUMBER(W24),COUNT(W24:W$30)&lt;=5),W24,NA())</f>
        <v>27</v>
      </c>
      <c r="X39" s="2">
        <f>IF(AND(ISNUMBER(X24),COUNT(X24:X$30)&lt;=5),X24,NA())</f>
        <v>23</v>
      </c>
      <c r="Y39" s="25">
        <f>IF(AND(ISNUMBER(Y24),COUNT(Y24:Y$30)&lt;=5),Y24,NA())</f>
        <v>256</v>
      </c>
      <c r="Z39" s="2"/>
      <c r="AA39" s="2"/>
      <c r="AB39" s="2"/>
      <c r="AC39" s="2"/>
    </row>
    <row r="40" spans="2:29" x14ac:dyDescent="0.45">
      <c r="B40" s="102"/>
      <c r="D40">
        <f>D25</f>
        <v>99</v>
      </c>
      <c r="E40">
        <f t="shared" si="9"/>
        <v>62</v>
      </c>
      <c r="F40">
        <f t="shared" si="9"/>
        <v>183</v>
      </c>
      <c r="G40">
        <f>G25</f>
        <v>147</v>
      </c>
      <c r="H40">
        <f t="shared" si="10"/>
        <v>239</v>
      </c>
      <c r="I40">
        <f t="shared" si="10"/>
        <v>32</v>
      </c>
      <c r="J40" s="2">
        <f t="shared" si="6"/>
        <v>179</v>
      </c>
      <c r="K40" s="2">
        <f t="shared" si="6"/>
        <v>41</v>
      </c>
      <c r="L40" s="2">
        <f>L25</f>
        <v>30</v>
      </c>
      <c r="M40" s="2">
        <f>M25</f>
        <v>36</v>
      </c>
      <c r="N40" s="31">
        <f t="shared" ref="N40:S40" si="15">N25</f>
        <v>143</v>
      </c>
      <c r="O40" s="2">
        <f t="shared" si="15"/>
        <v>133</v>
      </c>
      <c r="P40" s="31">
        <f t="shared" si="15"/>
        <v>24</v>
      </c>
      <c r="Q40" s="2">
        <f t="shared" si="15"/>
        <v>129</v>
      </c>
      <c r="R40" s="31">
        <f t="shared" si="15"/>
        <v>21</v>
      </c>
      <c r="S40" s="2">
        <f t="shared" si="15"/>
        <v>1</v>
      </c>
      <c r="T40" s="2">
        <f t="shared" ref="T40:U43" si="16">T25</f>
        <v>34</v>
      </c>
      <c r="U40" s="2">
        <f t="shared" si="16"/>
        <v>35</v>
      </c>
      <c r="V40" s="2">
        <f>IF(AND(ISNUMBER(V25),COUNT(V25:V$30)&lt;=5),V25,NA())</f>
        <v>31</v>
      </c>
      <c r="W40" s="2"/>
      <c r="X40" s="2">
        <f>IF(AND(ISNUMBER(X25),COUNT(X25:X$30)&lt;=5),X25,NA())</f>
        <v>27</v>
      </c>
      <c r="Y40" s="25">
        <f>IF(AND(ISNUMBER(Y25),COUNT(Y25:Y$30)&lt;=5),Y25,NA())</f>
        <v>52</v>
      </c>
      <c r="Z40" s="2"/>
      <c r="AA40" s="2"/>
      <c r="AB40" s="2"/>
      <c r="AC40" s="2"/>
    </row>
    <row r="41" spans="2:29" x14ac:dyDescent="0.45">
      <c r="B41" s="102"/>
      <c r="C41">
        <f>C26</f>
        <v>197</v>
      </c>
      <c r="D41">
        <f>D26</f>
        <v>87</v>
      </c>
      <c r="E41">
        <f t="shared" si="9"/>
        <v>72</v>
      </c>
      <c r="F41">
        <f t="shared" si="9"/>
        <v>256</v>
      </c>
      <c r="G41">
        <f>G26</f>
        <v>156</v>
      </c>
      <c r="H41">
        <f t="shared" si="10"/>
        <v>248</v>
      </c>
      <c r="I41">
        <f t="shared" si="10"/>
        <v>51</v>
      </c>
      <c r="J41" s="2">
        <f t="shared" si="6"/>
        <v>185</v>
      </c>
      <c r="K41" s="2">
        <f t="shared" si="6"/>
        <v>48</v>
      </c>
      <c r="L41" s="2">
        <f>L26</f>
        <v>15</v>
      </c>
      <c r="M41" s="2">
        <f>M26</f>
        <v>36</v>
      </c>
      <c r="N41" s="31"/>
      <c r="O41" s="2">
        <f t="shared" ref="O41:R41" si="17">O26</f>
        <v>131</v>
      </c>
      <c r="P41" s="31">
        <f t="shared" si="17"/>
        <v>236</v>
      </c>
      <c r="Q41" s="2">
        <f t="shared" si="17"/>
        <v>128</v>
      </c>
      <c r="R41" s="31">
        <f t="shared" si="17"/>
        <v>19</v>
      </c>
      <c r="S41" s="2"/>
      <c r="T41" s="2">
        <f t="shared" si="16"/>
        <v>22</v>
      </c>
      <c r="U41" s="2"/>
      <c r="V41" s="2">
        <f>IF(AND(ISNUMBER(V26),COUNT(V26:V$30)&lt;=5),V26,NA())</f>
        <v>25</v>
      </c>
      <c r="W41" s="2"/>
      <c r="X41" s="2"/>
      <c r="Y41" s="25">
        <f>IF(AND(ISNUMBER(Y26),COUNT(Y26:Y$30)&lt;=5),Y26,NA())</f>
        <v>275</v>
      </c>
      <c r="Z41" s="2"/>
      <c r="AA41" s="2"/>
      <c r="AB41" s="2"/>
      <c r="AC41" s="2"/>
    </row>
    <row r="42" spans="2:29" x14ac:dyDescent="0.45">
      <c r="B42" s="102"/>
      <c r="C42">
        <f>C27</f>
        <v>171</v>
      </c>
      <c r="D42">
        <f>D27</f>
        <v>95</v>
      </c>
      <c r="E42">
        <f t="shared" si="9"/>
        <v>77</v>
      </c>
      <c r="F42">
        <f t="shared" si="9"/>
        <v>180</v>
      </c>
      <c r="H42">
        <f t="shared" si="10"/>
        <v>262</v>
      </c>
      <c r="I42">
        <f t="shared" si="10"/>
        <v>46</v>
      </c>
      <c r="K42" s="2"/>
      <c r="L42" s="2"/>
      <c r="M42" s="2">
        <f>M27</f>
        <v>35</v>
      </c>
      <c r="N42" s="31"/>
      <c r="O42" s="2">
        <f t="shared" ref="O42:Q42" si="18">O27</f>
        <v>140</v>
      </c>
      <c r="P42" s="31"/>
      <c r="Q42" s="2">
        <f t="shared" si="18"/>
        <v>113</v>
      </c>
      <c r="R42" s="31"/>
      <c r="S42" s="2"/>
      <c r="T42" s="2">
        <f t="shared" si="16"/>
        <v>18</v>
      </c>
      <c r="U42" s="2"/>
      <c r="V42" s="2">
        <f>IF(AND(ISNUMBER(V27),COUNT(V27:V$30)&lt;=5),V27,NA())</f>
        <v>26</v>
      </c>
      <c r="W42" s="2"/>
      <c r="X42" s="2"/>
      <c r="Y42" s="25"/>
      <c r="Z42" s="2"/>
      <c r="AA42" s="2"/>
      <c r="AB42" s="2"/>
      <c r="AC42" s="2"/>
    </row>
    <row r="43" spans="2:29" x14ac:dyDescent="0.45">
      <c r="B43" s="102"/>
      <c r="C43">
        <f>C28</f>
        <v>198</v>
      </c>
      <c r="D43">
        <f>D28</f>
        <v>81</v>
      </c>
      <c r="K43" s="2"/>
      <c r="L43" s="2"/>
      <c r="M43" s="2"/>
      <c r="N43" s="31"/>
      <c r="O43" s="2">
        <f t="shared" ref="O43:Q43" si="19">O28</f>
        <v>136</v>
      </c>
      <c r="P43" s="31"/>
      <c r="Q43" s="2">
        <f t="shared" si="19"/>
        <v>127</v>
      </c>
      <c r="R43" s="31"/>
      <c r="S43" s="2"/>
      <c r="T43" s="2">
        <f t="shared" si="16"/>
        <v>37</v>
      </c>
      <c r="U43" s="2"/>
      <c r="V43" s="2">
        <f>IF(AND(ISNUMBER(V28),COUNT(V28:V$30)&lt;=5),V28,NA())</f>
        <v>32</v>
      </c>
      <c r="W43" s="2"/>
      <c r="X43" s="2"/>
      <c r="Y43" s="25"/>
      <c r="Z43" s="2"/>
      <c r="AA43" s="2"/>
      <c r="AB43" s="2"/>
      <c r="AC43" s="2"/>
    </row>
    <row r="44" spans="2:29" x14ac:dyDescent="0.45">
      <c r="B44" s="102"/>
      <c r="C44">
        <f>C29</f>
        <v>196</v>
      </c>
      <c r="D44">
        <f>D29</f>
        <v>97</v>
      </c>
      <c r="K44" s="2"/>
      <c r="L44" s="2"/>
      <c r="M44" s="2"/>
      <c r="N44" s="31"/>
      <c r="O44" s="2"/>
      <c r="P44" s="31"/>
      <c r="Q44" s="2">
        <f t="shared" ref="Q44" si="20">Q29</f>
        <v>124</v>
      </c>
      <c r="R44" s="31"/>
      <c r="S44" s="2"/>
      <c r="T44" s="2"/>
      <c r="U44" s="2"/>
      <c r="V44" s="2"/>
      <c r="W44" s="2"/>
      <c r="X44" s="2"/>
      <c r="Y44" s="25"/>
      <c r="Z44" s="2"/>
      <c r="AA44" s="2"/>
      <c r="AB44" s="2"/>
      <c r="AC44" s="2"/>
    </row>
    <row r="45" spans="2:29" x14ac:dyDescent="0.45">
      <c r="B45" s="102"/>
      <c r="C45" s="8">
        <f>C30</f>
        <v>200</v>
      </c>
      <c r="D45" s="8"/>
      <c r="E45" s="8"/>
      <c r="F45" s="8"/>
      <c r="G45" s="8"/>
      <c r="H45" s="8"/>
      <c r="I45" s="8"/>
      <c r="J45" s="8"/>
      <c r="K45" s="6"/>
      <c r="L45" s="6"/>
      <c r="M45" s="6"/>
      <c r="N45" s="48"/>
      <c r="O45" s="6"/>
      <c r="P45" s="48"/>
      <c r="Q45" s="6"/>
      <c r="R45" s="48"/>
      <c r="S45" s="6"/>
      <c r="T45" s="6"/>
      <c r="U45" s="6"/>
      <c r="V45" s="6"/>
      <c r="W45" s="6"/>
      <c r="X45" s="6"/>
      <c r="Y45" s="26"/>
      <c r="Z45" s="2"/>
      <c r="AA45" s="2"/>
      <c r="AB45" s="2"/>
      <c r="AC45" s="2"/>
    </row>
    <row r="46" spans="2:29" x14ac:dyDescent="0.45">
      <c r="D46" s="2"/>
      <c r="F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2:29" x14ac:dyDescent="0.45">
      <c r="B47" s="54" t="s">
        <v>50</v>
      </c>
      <c r="C47" s="55"/>
      <c r="D47" s="56">
        <f>MAX(D32:D45)</f>
        <v>99</v>
      </c>
      <c r="E47" s="56"/>
      <c r="F47" s="56">
        <f>MAX(F32:F45)</f>
        <v>257</v>
      </c>
      <c r="G47" s="56"/>
      <c r="H47" s="56">
        <f t="shared" ref="H47:M47" si="21">MAX(H32:H45)</f>
        <v>262</v>
      </c>
      <c r="I47" s="56">
        <f t="shared" si="21"/>
        <v>51</v>
      </c>
      <c r="J47" s="56">
        <f t="shared" si="21"/>
        <v>185</v>
      </c>
      <c r="K47" s="56">
        <f t="shared" si="21"/>
        <v>50</v>
      </c>
      <c r="L47" s="56">
        <f t="shared" si="21"/>
        <v>30</v>
      </c>
      <c r="M47" s="57">
        <f t="shared" si="21"/>
        <v>36</v>
      </c>
      <c r="N47" s="54"/>
      <c r="O47" s="54"/>
      <c r="P47" s="54"/>
      <c r="Q47" s="54"/>
      <c r="R47" s="55">
        <f t="shared" ref="R47:X47" si="22">MAX(R32:R45)</f>
        <v>27</v>
      </c>
      <c r="S47" s="56">
        <f t="shared" si="22"/>
        <v>9</v>
      </c>
      <c r="T47" s="56">
        <f t="shared" si="22"/>
        <v>37</v>
      </c>
      <c r="U47" s="56">
        <f t="shared" si="22"/>
        <v>35</v>
      </c>
      <c r="V47" s="56">
        <f t="shared" si="22"/>
        <v>35</v>
      </c>
      <c r="W47" s="56">
        <f t="shared" si="22"/>
        <v>148</v>
      </c>
      <c r="X47" s="56">
        <f t="shared" si="22"/>
        <v>30</v>
      </c>
      <c r="Y47" s="57">
        <f>MAX(Y32:Y45)</f>
        <v>284</v>
      </c>
    </row>
    <row r="48" spans="2:29" x14ac:dyDescent="0.45">
      <c r="B48" s="54" t="s">
        <v>51</v>
      </c>
      <c r="C48" s="58"/>
      <c r="D48" s="54">
        <f>MIN(D32:D45)</f>
        <v>81</v>
      </c>
      <c r="E48" s="54"/>
      <c r="F48" s="54">
        <f>MIN(F32:F45)</f>
        <v>180</v>
      </c>
      <c r="G48" s="54"/>
      <c r="H48" s="54">
        <f t="shared" ref="H48:M48" si="23">MIN(H32:H45)</f>
        <v>39</v>
      </c>
      <c r="I48" s="54">
        <f t="shared" si="23"/>
        <v>32</v>
      </c>
      <c r="J48" s="54">
        <f t="shared" si="23"/>
        <v>153</v>
      </c>
      <c r="K48" s="54">
        <f t="shared" si="23"/>
        <v>31</v>
      </c>
      <c r="L48" s="54">
        <f t="shared" si="23"/>
        <v>14</v>
      </c>
      <c r="M48" s="59">
        <f t="shared" si="23"/>
        <v>35</v>
      </c>
      <c r="N48" s="54"/>
      <c r="O48" s="54"/>
      <c r="P48" s="54"/>
      <c r="Q48" s="54"/>
      <c r="R48" s="58">
        <f t="shared" ref="R48:Y48" si="24">MIN(R32:R45)</f>
        <v>19</v>
      </c>
      <c r="S48" s="54">
        <f t="shared" si="24"/>
        <v>1</v>
      </c>
      <c r="T48" s="54">
        <f t="shared" si="24"/>
        <v>18</v>
      </c>
      <c r="U48" s="54">
        <f t="shared" si="24"/>
        <v>19</v>
      </c>
      <c r="V48" s="54">
        <f t="shared" si="24"/>
        <v>25</v>
      </c>
      <c r="W48" s="54">
        <f t="shared" si="24"/>
        <v>24</v>
      </c>
      <c r="X48" s="54">
        <f t="shared" si="24"/>
        <v>23</v>
      </c>
      <c r="Y48" s="59">
        <f t="shared" si="24"/>
        <v>52</v>
      </c>
    </row>
    <row r="49" spans="2:25" x14ac:dyDescent="0.45">
      <c r="B49" s="54" t="s">
        <v>52</v>
      </c>
      <c r="C49" s="43"/>
      <c r="D49" s="54">
        <f>AVERAGE(D32:D45)</f>
        <v>91.8</v>
      </c>
      <c r="E49" s="54"/>
      <c r="F49" s="54">
        <f t="shared" ref="F49:M49" si="25">AVERAGE(F32:F45)</f>
        <v>213.8</v>
      </c>
      <c r="G49" s="54"/>
      <c r="H49" s="54">
        <f t="shared" si="25"/>
        <v>167.4</v>
      </c>
      <c r="I49" s="54">
        <f t="shared" si="25"/>
        <v>44</v>
      </c>
      <c r="J49" s="54">
        <f t="shared" si="25"/>
        <v>175.4</v>
      </c>
      <c r="K49" s="54">
        <f t="shared" si="25"/>
        <v>43.4</v>
      </c>
      <c r="L49" s="54">
        <f t="shared" si="25"/>
        <v>20</v>
      </c>
      <c r="M49" s="59">
        <f t="shared" si="25"/>
        <v>35.6</v>
      </c>
      <c r="R49" s="58">
        <f t="shared" ref="R49:Y49" si="26">AVERAGE(R32:R45)</f>
        <v>22.4</v>
      </c>
      <c r="S49" s="54">
        <f t="shared" si="26"/>
        <v>5.2</v>
      </c>
      <c r="T49" s="54">
        <f t="shared" si="26"/>
        <v>26.6</v>
      </c>
      <c r="U49" s="54">
        <f t="shared" si="26"/>
        <v>28.8</v>
      </c>
      <c r="V49" s="54">
        <f t="shared" si="26"/>
        <v>29.8</v>
      </c>
      <c r="W49" s="54">
        <f t="shared" si="26"/>
        <v>74.599999999999994</v>
      </c>
      <c r="X49" s="54">
        <f t="shared" si="26"/>
        <v>26.6</v>
      </c>
      <c r="Y49" s="59">
        <f t="shared" si="26"/>
        <v>227.6</v>
      </c>
    </row>
    <row r="50" spans="2:25" x14ac:dyDescent="0.45">
      <c r="B50" s="54" t="s">
        <v>53</v>
      </c>
      <c r="C50" s="43"/>
      <c r="D50" s="86">
        <f>ABS(D15)</f>
        <v>27.799999999999997</v>
      </c>
      <c r="E50" s="54"/>
      <c r="F50" s="86">
        <f>ABS(F15)</f>
        <v>148.80000000000001</v>
      </c>
      <c r="G50" s="54"/>
      <c r="H50" s="86">
        <f t="shared" ref="H50:M50" si="27">ABS(H15)</f>
        <v>122.4</v>
      </c>
      <c r="I50" s="86">
        <f t="shared" si="27"/>
        <v>3.5</v>
      </c>
      <c r="J50" s="86">
        <f t="shared" si="27"/>
        <v>133.4</v>
      </c>
      <c r="K50" s="86">
        <f t="shared" si="27"/>
        <v>1.7000000000000028</v>
      </c>
      <c r="L50" s="86">
        <f t="shared" si="27"/>
        <v>10</v>
      </c>
      <c r="M50" s="87">
        <f t="shared" si="27"/>
        <v>1.6000000000000014</v>
      </c>
      <c r="R50" s="85">
        <f t="shared" ref="R50:Y50" si="28">ABS(R15)</f>
        <v>3.6000000000000014</v>
      </c>
      <c r="S50" s="86">
        <f t="shared" si="28"/>
        <v>15.8</v>
      </c>
      <c r="T50" s="86">
        <f t="shared" si="28"/>
        <v>8.6000000000000014</v>
      </c>
      <c r="U50" s="86">
        <f t="shared" si="28"/>
        <v>5.8000000000000007</v>
      </c>
      <c r="V50" s="86">
        <f t="shared" si="28"/>
        <v>0.30000000000000071</v>
      </c>
      <c r="W50" s="86">
        <f t="shared" si="28"/>
        <v>49.599999999999994</v>
      </c>
      <c r="X50" s="86">
        <f t="shared" si="28"/>
        <v>3.6000000000000014</v>
      </c>
      <c r="Y50" s="87">
        <f t="shared" si="28"/>
        <v>157.6</v>
      </c>
    </row>
    <row r="51" spans="2:25" x14ac:dyDescent="0.45">
      <c r="B51" s="54" t="s">
        <v>29</v>
      </c>
      <c r="C51" s="43"/>
      <c r="D51" s="54" t="s">
        <v>30</v>
      </c>
      <c r="E51" s="54"/>
      <c r="F51" s="54"/>
      <c r="G51" s="54"/>
      <c r="H51" s="54"/>
      <c r="I51" s="54" t="s">
        <v>30</v>
      </c>
      <c r="J51" s="54"/>
      <c r="K51" s="54"/>
      <c r="L51" s="54"/>
      <c r="M51" s="59"/>
      <c r="N51" s="54"/>
      <c r="O51" s="54"/>
      <c r="P51" s="54"/>
      <c r="Q51" s="54"/>
      <c r="R51" s="58" t="s">
        <v>27</v>
      </c>
      <c r="S51" s="54" t="s">
        <v>27</v>
      </c>
      <c r="T51" s="54"/>
      <c r="U51" s="54"/>
      <c r="V51" s="54"/>
      <c r="W51" s="54"/>
      <c r="X51" s="54"/>
      <c r="Y51" s="59"/>
    </row>
    <row r="52" spans="2:25" x14ac:dyDescent="0.45">
      <c r="B52" s="54" t="s">
        <v>31</v>
      </c>
      <c r="C52" s="43"/>
      <c r="D52" s="54" t="s">
        <v>32</v>
      </c>
      <c r="E52" s="54"/>
      <c r="F52" s="54"/>
      <c r="G52" s="54"/>
      <c r="H52" s="54"/>
      <c r="I52" s="54" t="s">
        <v>33</v>
      </c>
      <c r="J52" s="54"/>
      <c r="K52" s="54"/>
      <c r="L52" s="54"/>
      <c r="M52" s="59"/>
      <c r="N52" s="54"/>
      <c r="O52" s="54"/>
      <c r="P52" s="54"/>
      <c r="Q52" s="54"/>
      <c r="R52" s="58" t="s">
        <v>33</v>
      </c>
      <c r="S52" s="54" t="s">
        <v>32</v>
      </c>
      <c r="T52" s="54"/>
      <c r="U52" s="54"/>
      <c r="V52" s="54"/>
      <c r="W52" s="54"/>
      <c r="X52" s="54"/>
      <c r="Y52" s="59"/>
    </row>
    <row r="53" spans="2:25" x14ac:dyDescent="0.45">
      <c r="B53" s="54" t="s">
        <v>54</v>
      </c>
      <c r="C53" s="58"/>
      <c r="D53" s="54">
        <f>MAX(D47,F47,H47,J47)</f>
        <v>262</v>
      </c>
      <c r="E53" s="54"/>
      <c r="F53" s="54"/>
      <c r="G53" s="54"/>
      <c r="H53" s="54"/>
      <c r="I53" s="54">
        <f>MAX(I47,K47,L47,M47)</f>
        <v>51</v>
      </c>
      <c r="J53" s="54"/>
      <c r="K53" s="54"/>
      <c r="L53" s="54"/>
      <c r="M53" s="59"/>
      <c r="N53" s="54"/>
      <c r="O53" s="54"/>
      <c r="P53" s="54"/>
      <c r="Q53" s="54"/>
      <c r="R53" s="58">
        <f>MAX(R47,T47,V47,X47)</f>
        <v>37</v>
      </c>
      <c r="S53" s="54">
        <f>MAX(S47,U47,W47,Y47)</f>
        <v>284</v>
      </c>
      <c r="T53" s="54"/>
      <c r="U53" s="54"/>
      <c r="V53" s="54"/>
      <c r="W53" s="54"/>
      <c r="X53" s="54"/>
      <c r="Y53" s="59"/>
    </row>
    <row r="54" spans="2:25" x14ac:dyDescent="0.45">
      <c r="B54" s="54" t="s">
        <v>55</v>
      </c>
      <c r="C54" s="58"/>
      <c r="D54" s="54">
        <f>MIN(D48,F48,H48,J48)</f>
        <v>39</v>
      </c>
      <c r="E54" s="54"/>
      <c r="F54" s="54"/>
      <c r="G54" s="54"/>
      <c r="H54" s="54"/>
      <c r="I54" s="54">
        <f>MIN(I48,K48,L48,M48)</f>
        <v>14</v>
      </c>
      <c r="J54" s="54"/>
      <c r="K54" s="54"/>
      <c r="L54" s="54"/>
      <c r="M54" s="59"/>
      <c r="N54" s="54"/>
      <c r="O54" s="54"/>
      <c r="P54" s="54"/>
      <c r="Q54" s="54"/>
      <c r="R54" s="58">
        <f>MIN(R48,T48,V48,X48)</f>
        <v>18</v>
      </c>
      <c r="S54" s="54">
        <f>MIN(S48,U48,W48,Y48)</f>
        <v>1</v>
      </c>
      <c r="T54" s="54"/>
      <c r="U54" s="54"/>
      <c r="V54" s="54"/>
      <c r="W54" s="54"/>
      <c r="X54" s="54"/>
      <c r="Y54" s="59"/>
    </row>
    <row r="55" spans="2:25" x14ac:dyDescent="0.45">
      <c r="B55" s="54" t="s">
        <v>56</v>
      </c>
      <c r="C55" s="58"/>
      <c r="D55" s="54">
        <f>D53-D54</f>
        <v>223</v>
      </c>
      <c r="E55" s="54"/>
      <c r="F55" s="54"/>
      <c r="G55" s="54"/>
      <c r="H55" s="54"/>
      <c r="I55" s="54">
        <f>I53-I54</f>
        <v>37</v>
      </c>
      <c r="J55" s="54"/>
      <c r="K55" s="54"/>
      <c r="L55" s="54"/>
      <c r="M55" s="59"/>
      <c r="N55" s="54"/>
      <c r="O55" s="54"/>
      <c r="P55" s="54"/>
      <c r="Q55" s="54"/>
      <c r="R55" s="58">
        <f>R53-R54</f>
        <v>19</v>
      </c>
      <c r="S55" s="54">
        <f>S53-S54</f>
        <v>283</v>
      </c>
      <c r="T55" s="54"/>
      <c r="U55" s="54"/>
      <c r="V55" s="54"/>
      <c r="W55" s="54"/>
      <c r="X55" s="54"/>
      <c r="Y55" s="59"/>
    </row>
    <row r="56" spans="2:25" x14ac:dyDescent="0.45">
      <c r="B56" s="54" t="s">
        <v>58</v>
      </c>
      <c r="C56" s="43"/>
      <c r="D56" s="83">
        <f>AVERAGE(D49,F49,H49,J49)</f>
        <v>162.1</v>
      </c>
      <c r="I56" s="83">
        <f>AVERAGE(I49,K49,L49,M49)</f>
        <v>35.75</v>
      </c>
      <c r="M56" s="88"/>
      <c r="R56" s="78">
        <f>AVERAGE(R49,T49,V49,X49)</f>
        <v>26.35</v>
      </c>
      <c r="S56" s="83">
        <f>AVERAGE(S49,U49,W49,Y49)</f>
        <v>84.05</v>
      </c>
      <c r="Y56" s="88"/>
    </row>
    <row r="57" spans="2:25" x14ac:dyDescent="0.45">
      <c r="B57" s="54" t="s">
        <v>59</v>
      </c>
      <c r="C57" s="46"/>
      <c r="D57" s="89">
        <f>MAX(D50,F50,H50, J50)</f>
        <v>148.80000000000001</v>
      </c>
      <c r="E57" s="8"/>
      <c r="F57" s="8"/>
      <c r="G57" s="8"/>
      <c r="H57" s="8"/>
      <c r="I57" s="89">
        <f>MAX(I50,K50,L50,M50)</f>
        <v>10</v>
      </c>
      <c r="J57" s="8"/>
      <c r="K57" s="8"/>
      <c r="L57" s="8"/>
      <c r="M57" s="63"/>
      <c r="R57" s="90">
        <f>MAX(R50,T50,V50,X50)</f>
        <v>8.6000000000000014</v>
      </c>
      <c r="S57" s="89">
        <f>MAX(S50,U50,W50,Y50)</f>
        <v>157.6</v>
      </c>
      <c r="T57" s="8"/>
      <c r="U57" s="8"/>
      <c r="V57" s="8"/>
      <c r="W57" s="8"/>
      <c r="X57" s="8"/>
      <c r="Y57" s="63"/>
    </row>
    <row r="59" spans="2:25" x14ac:dyDescent="0.45">
      <c r="B59" s="91" t="s">
        <v>60</v>
      </c>
      <c r="C59" s="98" t="s">
        <v>34</v>
      </c>
      <c r="D59" s="98"/>
      <c r="E59" s="98"/>
      <c r="F59" s="98" t="s">
        <v>35</v>
      </c>
      <c r="G59" s="98"/>
      <c r="H59" s="98"/>
    </row>
    <row r="60" spans="2:25" x14ac:dyDescent="0.45">
      <c r="B60" s="54" t="s">
        <v>48</v>
      </c>
      <c r="C60" s="99">
        <f>D53</f>
        <v>262</v>
      </c>
      <c r="D60" s="100"/>
      <c r="E60" s="100"/>
      <c r="F60" s="100">
        <f>D56</f>
        <v>162.1</v>
      </c>
      <c r="G60" s="100"/>
      <c r="H60" s="101"/>
    </row>
    <row r="61" spans="2:25" x14ac:dyDescent="0.45">
      <c r="B61" s="54" t="s">
        <v>49</v>
      </c>
      <c r="C61" s="92">
        <f>S53</f>
        <v>284</v>
      </c>
      <c r="D61" s="93"/>
      <c r="E61" s="93"/>
      <c r="F61" s="93">
        <f>S56</f>
        <v>84.05</v>
      </c>
      <c r="G61" s="93"/>
      <c r="H61" s="94"/>
    </row>
    <row r="62" spans="2:25" x14ac:dyDescent="0.45">
      <c r="B62" s="54" t="s">
        <v>46</v>
      </c>
      <c r="C62" s="92">
        <f>I53</f>
        <v>51</v>
      </c>
      <c r="D62" s="93"/>
      <c r="E62" s="93"/>
      <c r="F62" s="93">
        <f>I56</f>
        <v>35.75</v>
      </c>
      <c r="G62" s="93"/>
      <c r="H62" s="94"/>
    </row>
    <row r="63" spans="2:25" x14ac:dyDescent="0.45">
      <c r="B63" s="54" t="s">
        <v>47</v>
      </c>
      <c r="C63" s="95">
        <f>R53</f>
        <v>37</v>
      </c>
      <c r="D63" s="96"/>
      <c r="E63" s="96"/>
      <c r="F63" s="96">
        <f>R56</f>
        <v>26.35</v>
      </c>
      <c r="G63" s="96"/>
      <c r="H63" s="97"/>
    </row>
    <row r="65" spans="2:8" x14ac:dyDescent="0.45">
      <c r="B65" s="91" t="s">
        <v>60</v>
      </c>
      <c r="C65" s="98" t="s">
        <v>61</v>
      </c>
      <c r="D65" s="98"/>
      <c r="E65" s="98"/>
      <c r="F65" s="98" t="s">
        <v>57</v>
      </c>
      <c r="G65" s="98"/>
      <c r="H65" s="98"/>
    </row>
    <row r="66" spans="2:8" x14ac:dyDescent="0.45">
      <c r="B66" s="54" t="s">
        <v>48</v>
      </c>
      <c r="C66" s="99">
        <f>D57</f>
        <v>148.80000000000001</v>
      </c>
      <c r="D66" s="100"/>
      <c r="E66" s="100"/>
      <c r="F66" s="100">
        <f>D55</f>
        <v>223</v>
      </c>
      <c r="G66" s="100"/>
      <c r="H66" s="101"/>
    </row>
    <row r="67" spans="2:8" x14ac:dyDescent="0.45">
      <c r="B67" s="54" t="s">
        <v>49</v>
      </c>
      <c r="C67" s="92">
        <f>S57</f>
        <v>157.6</v>
      </c>
      <c r="D67" s="93"/>
      <c r="E67" s="93"/>
      <c r="F67" s="93">
        <f>S55</f>
        <v>283</v>
      </c>
      <c r="G67" s="93"/>
      <c r="H67" s="94"/>
    </row>
    <row r="68" spans="2:8" x14ac:dyDescent="0.45">
      <c r="B68" s="54" t="s">
        <v>46</v>
      </c>
      <c r="C68" s="92">
        <f>I57</f>
        <v>10</v>
      </c>
      <c r="D68" s="93"/>
      <c r="E68" s="93"/>
      <c r="F68" s="93">
        <f>I55</f>
        <v>37</v>
      </c>
      <c r="G68" s="93"/>
      <c r="H68" s="94"/>
    </row>
    <row r="69" spans="2:8" x14ac:dyDescent="0.45">
      <c r="B69" s="54" t="s">
        <v>47</v>
      </c>
      <c r="C69" s="95">
        <f>R57</f>
        <v>8.6000000000000014</v>
      </c>
      <c r="D69" s="96"/>
      <c r="E69" s="96"/>
      <c r="F69" s="96">
        <f>R55</f>
        <v>19</v>
      </c>
      <c r="G69" s="96"/>
      <c r="H69" s="97"/>
    </row>
    <row r="84" spans="2:29" x14ac:dyDescent="0.45">
      <c r="B84" s="84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</row>
    <row r="85" spans="2:29" s="12" customFormat="1" x14ac:dyDescent="0.45">
      <c r="B85" s="84"/>
      <c r="C85" s="79"/>
      <c r="D85" s="79"/>
      <c r="E85" s="79"/>
      <c r="F85" s="79"/>
      <c r="G85" s="79"/>
      <c r="H85" s="79"/>
      <c r="I85" s="79"/>
      <c r="J85" s="79"/>
      <c r="K85" s="79"/>
      <c r="L85" s="79"/>
      <c r="M85" s="79"/>
      <c r="N85" s="53"/>
      <c r="O85" s="53"/>
      <c r="P85" s="53"/>
      <c r="Q85" s="53"/>
      <c r="R85" s="53"/>
      <c r="S85" s="53"/>
      <c r="T85" s="53"/>
      <c r="U85" s="53"/>
      <c r="V85" s="53"/>
      <c r="W85" s="53"/>
      <c r="X85" s="53"/>
      <c r="Y85" s="53"/>
      <c r="Z85" s="53"/>
      <c r="AA85" s="53"/>
      <c r="AB85" s="53"/>
      <c r="AC85" s="53"/>
    </row>
  </sheetData>
  <mergeCells count="22">
    <mergeCell ref="B17:B30"/>
    <mergeCell ref="B32:B45"/>
    <mergeCell ref="C63:E63"/>
    <mergeCell ref="C59:E59"/>
    <mergeCell ref="F59:H59"/>
    <mergeCell ref="F60:H60"/>
    <mergeCell ref="F61:H61"/>
    <mergeCell ref="F62:H62"/>
    <mergeCell ref="F63:H63"/>
    <mergeCell ref="C60:E60"/>
    <mergeCell ref="C61:E61"/>
    <mergeCell ref="C62:E62"/>
    <mergeCell ref="C68:E68"/>
    <mergeCell ref="F68:H68"/>
    <mergeCell ref="C69:E69"/>
    <mergeCell ref="F69:H69"/>
    <mergeCell ref="C65:E65"/>
    <mergeCell ref="F65:H65"/>
    <mergeCell ref="C66:E66"/>
    <mergeCell ref="F66:H66"/>
    <mergeCell ref="C67:E67"/>
    <mergeCell ref="F67:H67"/>
  </mergeCells>
  <conditionalFormatting sqref="V32:Y45">
    <cfRule type="expression" dxfId="0" priority="1">
      <formula>ISNA(V32)</formula>
    </cfRule>
  </conditionalFormatting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Opus 4.8</vt:lpstr>
      <vt:lpstr>Mix Models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Jarret Morton</dc:creator>
  <cp:lastModifiedBy>Jarret Morton</cp:lastModifiedBy>
  <dcterms:created xsi:type="dcterms:W3CDTF">2026-06-30T04:18:30Z</dcterms:created>
  <dcterms:modified xsi:type="dcterms:W3CDTF">2026-08-22T18:05:11Z</dcterms:modified>
</cp:coreProperties>
</file>